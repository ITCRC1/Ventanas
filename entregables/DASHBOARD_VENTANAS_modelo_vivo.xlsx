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Timeline Detail" sheetId="2" state="visible" r:id="rId2"/>
    <sheet xmlns:r="http://schemas.openxmlformats.org/officeDocument/2006/relationships" name="Job Cost Report" sheetId="3" state="visible" r:id="rId3"/>
    <sheet xmlns:r="http://schemas.openxmlformats.org/officeDocument/2006/relationships" name="Leyenda" sheetId="4" state="visible" r:id="rId4"/>
  </sheets>
  <definedNames>
    <definedName name="_xlnm._FilterDatabase" localSheetId="0" hidden="1">'LEDGER'!$A$3:$I$240</definedName>
    <definedName name="_xlnm._FilterDatabase" localSheetId="1" hidden="1">'Timeline Detail'!$A$3:$H$80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7">
    <font>
      <name val="Calibri"/>
      <family val="2"/>
      <color theme="1"/>
      <sz val="11"/>
      <scheme val="minor"/>
    </font>
    <font>
      <b val="1"/>
      <color rgb="FFFFFFFF"/>
    </font>
    <font>
      <b val="1"/>
      <sz val="14"/>
    </font>
    <font>
      <i val="1"/>
      <color rgb="FF808080"/>
    </font>
    <font>
      <b val="1"/>
      <sz val="9"/>
    </font>
    <font>
      <b val="1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FF434343"/>
      </patternFill>
    </fill>
    <fill>
      <patternFill patternType="solid">
        <fgColor rgb="FFD9D9D9"/>
      </patternFill>
    </fill>
    <fill>
      <patternFill patternType="solid">
        <fgColor rgb="FFA2C4C9"/>
      </patternFill>
    </fill>
    <fill>
      <patternFill patternType="solid">
        <fgColor rgb="FFC8DCF0"/>
      </patternFill>
    </fill>
    <fill>
      <patternFill patternType="solid">
        <fgColor rgb="FFF8F8F8"/>
      </patternFill>
    </fill>
    <fill>
      <patternFill patternType="solid">
        <fgColor rgb="FFFFFF00"/>
      </patternFill>
    </fill>
    <fill>
      <patternFill patternType="solid">
        <fgColor rgb="FFCCCCCC"/>
      </patternFill>
    </fill>
    <fill>
      <patternFill patternType="solid">
        <fgColor rgb="FF1155CC"/>
      </patternFill>
    </fill>
    <fill>
      <patternFill patternType="solid">
        <fgColor rgb="FFB85B22"/>
      </patternFill>
    </fill>
    <fill>
      <patternFill patternType="solid">
        <f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0" fillId="3" borderId="0" pivotButton="0" quotePrefix="0" xfId="0"/>
    <xf numFmtId="0" fontId="5" fillId="3" borderId="0" pivotButton="0" quotePrefix="0" xfId="0"/>
    <xf numFmtId="0" fontId="5" fillId="6" borderId="0" pivotButton="0" quotePrefix="0" xfId="0"/>
    <xf numFmtId="0" fontId="0" fillId="6" borderId="0" pivotButton="0" quotePrefix="0" xfId="0"/>
    <xf numFmtId="3" fontId="0" fillId="7" borderId="0" pivotButton="0" quotePrefix="0" xfId="0"/>
    <xf numFmtId="164" fontId="5" fillId="3" borderId="0" pivotButton="0" quotePrefix="0" xfId="0"/>
    <xf numFmtId="0" fontId="0" fillId="8" borderId="0" pivotButton="0" quotePrefix="0" xfId="0"/>
    <xf numFmtId="3" fontId="0" fillId="9" borderId="0" pivotButton="0" quotePrefix="0" xfId="0"/>
    <xf numFmtId="3" fontId="0" fillId="10" borderId="0" pivotButton="0" quotePrefix="0" xfId="0"/>
    <xf numFmtId="3" fontId="0" fillId="8" borderId="0" pivotButton="0" quotePrefix="0" xfId="0"/>
    <xf numFmtId="0" fontId="0" fillId="5" borderId="0" pivotButton="0" quotePrefix="0" xfId="0"/>
    <xf numFmtId="0" fontId="5" fillId="5" borderId="0" pivotButton="0" quotePrefix="0" xfId="0"/>
    <xf numFmtId="164" fontId="5" fillId="5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dxfs count="1">
    <dxf>
      <font>
        <color rgb="FF9C0006"/>
      </font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2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6" customWidth="1" min="4" max="4"/>
    <col width="46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3">
      <c r="A3" s="1" t="inlineStr">
        <is>
          <t>Cost Code</t>
        </is>
      </c>
      <c r="B3" s="1" t="inlineStr">
        <is>
          <t>Date</t>
        </is>
      </c>
      <c r="C3" s="1" t="inlineStr">
        <is>
          <t>Invoice #</t>
        </is>
      </c>
      <c r="D3" s="1" t="inlineStr">
        <is>
          <t>Payee</t>
        </is>
      </c>
      <c r="E3" s="1" t="inlineStr">
        <is>
          <t>Description</t>
        </is>
      </c>
      <c r="F3" s="1" t="inlineStr">
        <is>
          <t>Amount</t>
        </is>
      </c>
      <c r="G3" s="1" t="inlineStr">
        <is>
          <t>Amount Paid</t>
        </is>
      </c>
      <c r="H3" s="1" t="inlineStr">
        <is>
          <t>Amount Due</t>
        </is>
      </c>
      <c r="I3" s="1" t="inlineStr">
        <is>
          <t>Funding Source</t>
        </is>
      </c>
    </row>
    <row r="4">
      <c r="A4" t="inlineStr">
        <is>
          <t>0.0001</t>
        </is>
      </c>
      <c r="D4" t="inlineStr">
        <is>
          <t>Disbursement #00</t>
        </is>
      </c>
      <c r="F4" s="2" t="n">
        <v>593250</v>
      </c>
      <c r="G4" s="2" t="n">
        <v>593250</v>
      </c>
      <c r="H4" s="2">
        <f>F4-G4</f>
        <v/>
      </c>
      <c r="I4" t="inlineStr">
        <is>
          <t>VENTANAS I</t>
        </is>
      </c>
    </row>
    <row r="5">
      <c r="A5" t="inlineStr">
        <is>
          <t>0.0002</t>
        </is>
      </c>
      <c r="D5" t="inlineStr">
        <is>
          <t>Disbursement #00</t>
        </is>
      </c>
      <c r="F5" s="2" t="n">
        <v>7507599.699999999</v>
      </c>
      <c r="G5" s="2" t="n">
        <v>7507599.699999999</v>
      </c>
      <c r="H5" s="2">
        <f>F5-G5</f>
        <v/>
      </c>
      <c r="I5" t="inlineStr">
        <is>
          <t>VENTANAS I</t>
        </is>
      </c>
    </row>
    <row r="6">
      <c r="A6" t="inlineStr">
        <is>
          <t>0.0002</t>
        </is>
      </c>
      <c r="D6" t="inlineStr">
        <is>
          <t>Disbursement #00</t>
        </is>
      </c>
      <c r="F6" s="2" t="n">
        <v>1875000</v>
      </c>
      <c r="G6" s="2" t="n">
        <v>1875000</v>
      </c>
      <c r="H6" s="2">
        <f>F6-G6</f>
        <v/>
      </c>
      <c r="I6" t="inlineStr">
        <is>
          <t>VENTANAS I</t>
        </is>
      </c>
    </row>
    <row r="7">
      <c r="A7" t="inlineStr">
        <is>
          <t>0.3.1</t>
        </is>
      </c>
      <c r="D7" t="inlineStr">
        <is>
          <t>Disbursement #00</t>
        </is>
      </c>
      <c r="F7" s="2" t="n">
        <v>7950</v>
      </c>
      <c r="G7" s="2" t="n">
        <v>0</v>
      </c>
      <c r="H7" s="2">
        <f>F7-G7</f>
        <v/>
      </c>
    </row>
    <row r="8">
      <c r="A8" t="inlineStr">
        <is>
          <t>0.4</t>
        </is>
      </c>
      <c r="D8" t="inlineStr">
        <is>
          <t>Disbursement #00</t>
        </is>
      </c>
      <c r="F8" s="2" t="n">
        <v>11250</v>
      </c>
      <c r="G8" s="2" t="n">
        <v>0</v>
      </c>
      <c r="H8" s="2">
        <f>F8-G8</f>
        <v/>
      </c>
    </row>
    <row r="9">
      <c r="A9" t="inlineStr">
        <is>
          <t>0.6.2</t>
        </is>
      </c>
      <c r="D9" t="inlineStr">
        <is>
          <t>Disbursement #00</t>
        </is>
      </c>
      <c r="F9" s="2" t="n">
        <v>4800</v>
      </c>
      <c r="G9" s="2" t="n">
        <v>0</v>
      </c>
      <c r="H9" s="2">
        <f>F9-G9</f>
        <v/>
      </c>
    </row>
    <row r="10">
      <c r="A10" t="inlineStr">
        <is>
          <t>0.6.3</t>
        </is>
      </c>
      <c r="D10" t="inlineStr">
        <is>
          <t>Disbursement #00</t>
        </is>
      </c>
      <c r="F10" s="2" t="n">
        <v>2400</v>
      </c>
      <c r="G10" s="2" t="n">
        <v>0</v>
      </c>
      <c r="H10" s="2">
        <f>F10-G10</f>
        <v/>
      </c>
    </row>
    <row r="11">
      <c r="A11" t="inlineStr">
        <is>
          <t>0.7</t>
        </is>
      </c>
      <c r="D11" t="inlineStr">
        <is>
          <t>Disbursement #00</t>
        </is>
      </c>
      <c r="F11" s="2" t="n">
        <v>42374.99999999999</v>
      </c>
      <c r="G11" s="2" t="n">
        <v>0</v>
      </c>
      <c r="H11" s="2">
        <f>F11-G11</f>
        <v/>
      </c>
    </row>
    <row r="12">
      <c r="A12" t="inlineStr">
        <is>
          <t>0.8</t>
        </is>
      </c>
      <c r="D12" t="inlineStr">
        <is>
          <t>Disbursement #00</t>
        </is>
      </c>
      <c r="F12" s="2" t="n">
        <v>20000</v>
      </c>
      <c r="G12" s="2" t="n">
        <v>0</v>
      </c>
      <c r="H12" s="2">
        <f>F12-G12</f>
        <v/>
      </c>
    </row>
    <row r="13">
      <c r="A13" t="inlineStr">
        <is>
          <t>0.9</t>
        </is>
      </c>
      <c r="D13" t="inlineStr">
        <is>
          <t>Disbursement #00</t>
        </is>
      </c>
      <c r="F13" s="2" t="n">
        <v>6000</v>
      </c>
      <c r="G13" s="2" t="n">
        <v>0</v>
      </c>
      <c r="H13" s="2">
        <f>F13-G13</f>
        <v/>
      </c>
    </row>
    <row r="14">
      <c r="A14" t="inlineStr">
        <is>
          <t>0.9</t>
        </is>
      </c>
      <c r="D14" t="inlineStr">
        <is>
          <t>Disbursement #00</t>
        </is>
      </c>
      <c r="F14" s="2" t="n">
        <v>6480</v>
      </c>
      <c r="G14" s="2" t="n">
        <v>0</v>
      </c>
      <c r="H14" s="2">
        <f>F14-G14</f>
        <v/>
      </c>
    </row>
    <row r="15">
      <c r="A15" t="inlineStr">
        <is>
          <t>2.1.1</t>
        </is>
      </c>
      <c r="D15" t="inlineStr">
        <is>
          <t>Disbursement #00</t>
        </is>
      </c>
      <c r="F15" s="2" t="n">
        <v>14500</v>
      </c>
      <c r="G15" s="2" t="n">
        <v>0</v>
      </c>
      <c r="H15" s="2">
        <f>F15-G15</f>
        <v/>
      </c>
    </row>
    <row r="16">
      <c r="A16" t="inlineStr">
        <is>
          <t>3.1</t>
        </is>
      </c>
      <c r="D16" t="inlineStr">
        <is>
          <t>Disbursement #00</t>
        </is>
      </c>
      <c r="F16" s="2" t="n">
        <v>8236.004999999999</v>
      </c>
      <c r="G16" s="2" t="n">
        <v>0</v>
      </c>
      <c r="H16" s="2">
        <f>F16-G16</f>
        <v/>
      </c>
    </row>
    <row r="17">
      <c r="A17" t="inlineStr">
        <is>
          <t>3.3</t>
        </is>
      </c>
      <c r="D17" t="inlineStr">
        <is>
          <t>Disbursement #00</t>
        </is>
      </c>
      <c r="F17" s="2" t="n">
        <v>3779.624</v>
      </c>
      <c r="G17" s="2" t="n">
        <v>0</v>
      </c>
      <c r="H17" s="2">
        <f>F17-G17</f>
        <v/>
      </c>
    </row>
    <row r="18">
      <c r="A18" t="inlineStr">
        <is>
          <t>3.4</t>
        </is>
      </c>
      <c r="D18" t="inlineStr">
        <is>
          <t>Disbursement #00</t>
        </is>
      </c>
      <c r="F18" s="2" t="n">
        <v>7342.174999999998</v>
      </c>
      <c r="G18" s="2" t="n">
        <v>0</v>
      </c>
      <c r="H18" s="2">
        <f>F18-G18</f>
        <v/>
      </c>
    </row>
    <row r="19">
      <c r="A19" t="inlineStr">
        <is>
          <t>4.4</t>
        </is>
      </c>
      <c r="D19" t="inlineStr">
        <is>
          <t>Disbursement #00</t>
        </is>
      </c>
      <c r="F19" s="2" t="n">
        <v>1695</v>
      </c>
      <c r="G19" s="2" t="n">
        <v>0</v>
      </c>
      <c r="H19" s="2">
        <f>F19-G19</f>
        <v/>
      </c>
    </row>
    <row r="20">
      <c r="A20" t="inlineStr">
        <is>
          <t>5.1</t>
        </is>
      </c>
      <c r="D20" t="inlineStr">
        <is>
          <t>Disbursement #00</t>
        </is>
      </c>
      <c r="F20" s="2" t="n">
        <v>5000</v>
      </c>
      <c r="G20" s="2" t="n">
        <v>0</v>
      </c>
      <c r="H20" s="2">
        <f>F20-G20</f>
        <v/>
      </c>
    </row>
    <row r="21">
      <c r="A21" t="inlineStr">
        <is>
          <t>5.2</t>
        </is>
      </c>
      <c r="D21" t="inlineStr">
        <is>
          <t>Disbursement #00</t>
        </is>
      </c>
      <c r="F21" s="2" t="n">
        <v>4971.999999999999</v>
      </c>
      <c r="G21" s="2" t="n">
        <v>0</v>
      </c>
      <c r="H21" s="2">
        <f>F21-G21</f>
        <v/>
      </c>
    </row>
    <row r="22">
      <c r="A22" t="inlineStr">
        <is>
          <t>5.6</t>
        </is>
      </c>
      <c r="D22" t="inlineStr">
        <is>
          <t>Disbursement #00</t>
        </is>
      </c>
      <c r="F22" s="2" t="n">
        <v>50000</v>
      </c>
      <c r="G22" s="2" t="n">
        <v>0</v>
      </c>
      <c r="H22" s="2">
        <f>F22-G22</f>
        <v/>
      </c>
    </row>
    <row r="23">
      <c r="A23" t="inlineStr">
        <is>
          <t>6.2</t>
        </is>
      </c>
      <c r="D23" t="inlineStr">
        <is>
          <t>Disbursement #00</t>
        </is>
      </c>
      <c r="F23" s="2" t="n">
        <v>2500</v>
      </c>
      <c r="G23" s="2" t="n">
        <v>0</v>
      </c>
      <c r="H23" s="2">
        <f>F23-G23</f>
        <v/>
      </c>
    </row>
    <row r="24">
      <c r="A24" t="inlineStr">
        <is>
          <t>6.3</t>
        </is>
      </c>
      <c r="D24" t="inlineStr">
        <is>
          <t>Disbursement #00</t>
        </is>
      </c>
      <c r="F24" s="2" t="n">
        <v>24085.9</v>
      </c>
      <c r="G24" s="2" t="n">
        <v>0</v>
      </c>
      <c r="H24" s="2">
        <f>F24-G24</f>
        <v/>
      </c>
    </row>
    <row r="25">
      <c r="A25" t="inlineStr">
        <is>
          <t>0.1</t>
        </is>
      </c>
      <c r="D25" t="inlineStr">
        <is>
          <t>Disbursement #00</t>
        </is>
      </c>
      <c r="F25" s="2" t="n">
        <v>450000</v>
      </c>
      <c r="G25" s="2" t="n">
        <v>450000</v>
      </c>
      <c r="H25" s="2">
        <f>F25-G25</f>
        <v/>
      </c>
    </row>
    <row r="26">
      <c r="A26" t="inlineStr">
        <is>
          <t>3.2</t>
        </is>
      </c>
      <c r="D26" t="inlineStr">
        <is>
          <t>Disbursement #01 - 06/05/2024</t>
        </is>
      </c>
      <c r="E26" t="inlineStr">
        <is>
          <t>Topography Lidar</t>
        </is>
      </c>
      <c r="F26" s="2" t="n">
        <v>25000</v>
      </c>
      <c r="G26" s="2" t="n">
        <v>25000</v>
      </c>
      <c r="H26" s="2">
        <f>F26-G26</f>
        <v/>
      </c>
    </row>
    <row r="27">
      <c r="A27" t="inlineStr">
        <is>
          <t>3.2</t>
        </is>
      </c>
      <c r="D27" t="inlineStr">
        <is>
          <t>Disbursement #01 - 06/05/2024</t>
        </is>
      </c>
      <c r="E27" t="inlineStr">
        <is>
          <t>Topography vat tax Pending</t>
        </is>
      </c>
      <c r="F27" s="2" t="n">
        <v>3250</v>
      </c>
      <c r="G27" s="2" t="n">
        <v>3250</v>
      </c>
      <c r="H27" s="2">
        <f>F27-G27</f>
        <v/>
      </c>
    </row>
    <row r="28">
      <c r="A28" t="inlineStr">
        <is>
          <t>0.0001</t>
        </is>
      </c>
      <c r="D28" t="inlineStr">
        <is>
          <t>Disbursement #01 - 06/05/2024</t>
        </is>
      </c>
      <c r="E28" t="inlineStr">
        <is>
          <t>Soil analysis</t>
        </is>
      </c>
      <c r="F28" s="2" t="n">
        <v>10170</v>
      </c>
      <c r="G28" s="2" t="n">
        <v>10170</v>
      </c>
      <c r="H28" s="2">
        <f>F28-G28</f>
        <v/>
      </c>
    </row>
    <row r="29">
      <c r="A29" t="inlineStr">
        <is>
          <t>0.0001</t>
        </is>
      </c>
      <c r="D29" t="inlineStr">
        <is>
          <t>Disbursement #01 - 06/05/2024</t>
        </is>
      </c>
      <c r="E29" t="inlineStr">
        <is>
          <t>Boundary Analysis and Marking</t>
        </is>
      </c>
      <c r="F29" s="2" t="n">
        <v>5085</v>
      </c>
      <c r="G29" s="2" t="n">
        <v>5085</v>
      </c>
      <c r="H29" s="2">
        <f>F29-G29</f>
        <v/>
      </c>
    </row>
    <row r="30">
      <c r="A30" t="inlineStr">
        <is>
          <t>0.0001</t>
        </is>
      </c>
      <c r="D30" t="inlineStr">
        <is>
          <t>Disbursement #01 - 06/05/2024</t>
        </is>
      </c>
      <c r="E30" t="inlineStr">
        <is>
          <t>Water testing</t>
        </is>
      </c>
      <c r="F30" s="2" t="n">
        <v>1915.35</v>
      </c>
      <c r="G30" s="2" t="n">
        <v>1915.35</v>
      </c>
      <c r="H30" s="2">
        <f>F30-G30</f>
        <v/>
      </c>
    </row>
    <row r="31">
      <c r="A31" t="inlineStr">
        <is>
          <t>0.0001</t>
        </is>
      </c>
      <c r="D31" t="inlineStr">
        <is>
          <t>Disbursement #01 - 06/05/2024</t>
        </is>
      </c>
      <c r="E31" t="inlineStr">
        <is>
          <t>Environmental Feasibility Report</t>
        </is>
      </c>
      <c r="F31" s="2" t="n">
        <v>8737.16</v>
      </c>
      <c r="G31" s="2" t="n">
        <v>8737.16</v>
      </c>
      <c r="H31" s="2">
        <f>F31-G31</f>
        <v/>
      </c>
    </row>
    <row r="32">
      <c r="A32" t="inlineStr">
        <is>
          <t>0.0001</t>
        </is>
      </c>
      <c r="D32" t="inlineStr">
        <is>
          <t>Disbursement #01 - 06/05/2024</t>
        </is>
      </c>
      <c r="E32" t="inlineStr">
        <is>
          <t>Tree Trimming $880+Vat per day</t>
        </is>
      </c>
      <c r="F32" s="2" t="n">
        <v>4972</v>
      </c>
      <c r="G32" s="2" t="n">
        <v>4972</v>
      </c>
      <c r="H32" s="2">
        <f>F32-G32</f>
        <v/>
      </c>
    </row>
    <row r="33">
      <c r="A33" t="inlineStr">
        <is>
          <t>0.3.1</t>
        </is>
      </c>
      <c r="D33" t="inlineStr">
        <is>
          <t>Disbursement #01 - 06/05/2024</t>
        </is>
      </c>
      <c r="E33" t="inlineStr">
        <is>
          <t>Constitution of 13 Corps</t>
        </is>
      </c>
      <c r="F33" s="2" t="n">
        <v>0</v>
      </c>
      <c r="G33" s="2" t="n">
        <v>0</v>
      </c>
      <c r="H33" s="2">
        <f>F33-G33</f>
        <v/>
      </c>
    </row>
    <row r="34">
      <c r="A34" t="inlineStr">
        <is>
          <t>0.3.1</t>
        </is>
      </c>
      <c r="D34" t="inlineStr">
        <is>
          <t>Disbursement #01 - 06/05/2024</t>
        </is>
      </c>
      <c r="E34" t="inlineStr">
        <is>
          <t>13 Certifications for Muni Application</t>
        </is>
      </c>
      <c r="F34" s="2" t="n">
        <v>983.1</v>
      </c>
      <c r="G34" s="2" t="n">
        <v>983.1</v>
      </c>
      <c r="H34" s="2">
        <f>F34-G34</f>
        <v/>
      </c>
    </row>
    <row r="35">
      <c r="A35" t="inlineStr">
        <is>
          <t>0.3.1</t>
        </is>
      </c>
      <c r="D35" t="inlineStr">
        <is>
          <t>Disbursement #01 - 06/05/2024</t>
        </is>
      </c>
      <c r="E35" t="inlineStr">
        <is>
          <t>Constitution of 2 Corps</t>
        </is>
      </c>
      <c r="F35" s="2" t="n">
        <v>2034</v>
      </c>
      <c r="G35" s="2" t="n">
        <v>2034</v>
      </c>
      <c r="H35" s="2">
        <f>F35-G35</f>
        <v/>
      </c>
    </row>
    <row r="36">
      <c r="A36" t="inlineStr">
        <is>
          <t>0.2</t>
        </is>
      </c>
      <c r="D36" t="inlineStr">
        <is>
          <t>Disbursement #01 - 06/05/2024</t>
        </is>
      </c>
      <c r="E36" t="inlineStr">
        <is>
          <t>2 Certifications for Muni Application</t>
        </is>
      </c>
      <c r="F36" s="2" t="n">
        <v>151.25</v>
      </c>
      <c r="G36" s="2" t="n">
        <v>151.25</v>
      </c>
      <c r="H36" s="2">
        <f>F36-G36</f>
        <v/>
      </c>
    </row>
    <row r="37">
      <c r="A37" t="inlineStr">
        <is>
          <t>0.0001</t>
        </is>
      </c>
      <c r="D37" t="inlineStr">
        <is>
          <t>Disbursement #01 - 06/05/2024</t>
        </is>
      </c>
      <c r="E37" t="inlineStr">
        <is>
          <t>Legal Fees (local Attorney plus Municipal and Environmental fees)</t>
        </is>
      </c>
      <c r="F37" s="2" t="n">
        <v>25000</v>
      </c>
      <c r="G37" s="2" t="n">
        <v>25000</v>
      </c>
      <c r="H37" s="2">
        <f>F37-G37</f>
        <v/>
      </c>
    </row>
    <row r="38">
      <c r="A38" t="inlineStr">
        <is>
          <t>0.0001</t>
        </is>
      </c>
      <c r="D38" t="inlineStr">
        <is>
          <t>Disbursement #02 - 07/08/2024</t>
        </is>
      </c>
      <c r="E38" t="inlineStr">
        <is>
          <t>Boundary Analysis and Marking</t>
        </is>
      </c>
      <c r="F38" s="2" t="n">
        <v>5085</v>
      </c>
      <c r="G38" s="2" t="n">
        <v>5085</v>
      </c>
      <c r="H38" s="2">
        <f>F38-G38</f>
        <v/>
      </c>
    </row>
    <row r="39">
      <c r="A39" t="inlineStr">
        <is>
          <t>0.0001</t>
        </is>
      </c>
      <c r="D39" t="inlineStr">
        <is>
          <t>Disbursement #02 - 07/08/2024</t>
        </is>
      </c>
      <c r="E39" t="inlineStr">
        <is>
          <t>Environmental Feasibility Report /Payment # 2 after inspections</t>
        </is>
      </c>
      <c r="F39" s="2" t="n">
        <v>8737.16</v>
      </c>
      <c r="G39" s="2" t="n">
        <v>8737.16</v>
      </c>
      <c r="H39" s="2">
        <f>F39-G39</f>
        <v/>
      </c>
    </row>
    <row r="40">
      <c r="A40" t="inlineStr">
        <is>
          <t>0.0001</t>
        </is>
      </c>
      <c r="D40" t="inlineStr">
        <is>
          <t>Disbursement #02 - 07/08/2024</t>
        </is>
      </c>
      <c r="E40" t="inlineStr">
        <is>
          <t>Tree Trimming $880+Vat per day</t>
        </is>
      </c>
      <c r="F40" s="2" t="n">
        <v>5280</v>
      </c>
      <c r="G40" s="2" t="n">
        <v>5280</v>
      </c>
      <c r="H40" s="2">
        <f>F40-G40</f>
        <v/>
      </c>
    </row>
    <row r="41">
      <c r="A41" t="inlineStr">
        <is>
          <t>0.0001</t>
        </is>
      </c>
      <c r="D41" t="inlineStr">
        <is>
          <t>Disbursement #02 - 07/08/2024</t>
        </is>
      </c>
      <c r="E41" t="inlineStr">
        <is>
          <t>Soil Studies</t>
        </is>
      </c>
      <c r="F41" s="2" t="n">
        <v>24052.5</v>
      </c>
      <c r="G41" s="2" t="n">
        <v>24052.5</v>
      </c>
      <c r="H41" s="2">
        <f>F41-G41</f>
        <v/>
      </c>
    </row>
    <row r="42">
      <c r="A42" t="inlineStr">
        <is>
          <t>0.3.1</t>
        </is>
      </c>
      <c r="D42" t="inlineStr">
        <is>
          <t>Disbursement #02 - 07/08/2024</t>
        </is>
      </c>
      <c r="E42" t="inlineStr">
        <is>
          <t>Constitution of 13 Corps</t>
        </is>
      </c>
      <c r="F42" s="2" t="n">
        <v>0</v>
      </c>
      <c r="G42" s="2" t="n">
        <v>0</v>
      </c>
      <c r="H42" s="2">
        <f>F42-G42</f>
        <v/>
      </c>
    </row>
    <row r="43">
      <c r="A43" t="inlineStr">
        <is>
          <t>0.2</t>
        </is>
      </c>
      <c r="D43" t="inlineStr">
        <is>
          <t>Disbursement #02 - 07/08/2024</t>
        </is>
      </c>
      <c r="E43" t="inlineStr">
        <is>
          <t>Surveyor (13 new land surveys for concession areas)</t>
        </is>
      </c>
      <c r="F43" s="2" t="n">
        <v>18362.5</v>
      </c>
      <c r="G43" s="2" t="n">
        <v>18362.5</v>
      </c>
      <c r="H43" s="2">
        <f>F43-G43</f>
        <v/>
      </c>
    </row>
    <row r="44">
      <c r="A44" t="inlineStr">
        <is>
          <t>0.2</t>
        </is>
      </c>
      <c r="D44" t="inlineStr">
        <is>
          <t>Disbursement #02 - 07/08/2024</t>
        </is>
      </c>
      <c r="E44" t="inlineStr">
        <is>
          <t>Concession files( Inspections and legal filing)</t>
        </is>
      </c>
      <c r="F44" s="2" t="n">
        <v>25000</v>
      </c>
      <c r="G44" s="2" t="n">
        <v>25000</v>
      </c>
      <c r="H44" s="2">
        <f>F44-G44</f>
        <v/>
      </c>
    </row>
    <row r="45">
      <c r="A45" t="inlineStr">
        <is>
          <t>0.3.1</t>
        </is>
      </c>
      <c r="D45" t="inlineStr">
        <is>
          <t>Disbursement #02 - 07/08/2024</t>
        </is>
      </c>
      <c r="E45" t="inlineStr">
        <is>
          <t>Legal Fees (New Corporations)</t>
        </is>
      </c>
      <c r="F45" s="2" t="n">
        <v>3442</v>
      </c>
      <c r="G45" s="2" t="n">
        <v>3442</v>
      </c>
      <c r="H45" s="2">
        <f>F45-G45</f>
        <v/>
      </c>
    </row>
    <row r="46">
      <c r="A46" t="inlineStr">
        <is>
          <t>0.5</t>
        </is>
      </c>
      <c r="D46" t="inlineStr">
        <is>
          <t>Helicopter Charter SJO-Venta-CWL</t>
        </is>
      </c>
      <c r="E46" t="inlineStr">
        <is>
          <t>Helicopter Wire - 25/7/2024</t>
        </is>
      </c>
      <c r="F46" s="2" t="n">
        <v>18083</v>
      </c>
      <c r="G46" s="2" t="n">
        <v>18083</v>
      </c>
      <c r="H46" s="2">
        <f>F46-G46</f>
        <v/>
      </c>
    </row>
    <row r="47">
      <c r="A47" t="inlineStr">
        <is>
          <t>3.2</t>
        </is>
      </c>
      <c r="D47" t="inlineStr">
        <is>
          <t>Disbursement #03 - 07/08/2024</t>
        </is>
      </c>
      <c r="E47" t="inlineStr">
        <is>
          <t>New Plano Registration for Ventanas (beach and hill) +Piñuelas Beach</t>
        </is>
      </c>
      <c r="F47" s="2" t="n">
        <v>10452.5</v>
      </c>
      <c r="G47" s="2" t="n">
        <v>10452.5</v>
      </c>
      <c r="H47" s="2">
        <f>F47-G47</f>
        <v/>
      </c>
    </row>
    <row r="48">
      <c r="A48" t="inlineStr">
        <is>
          <t>0.2</t>
        </is>
      </c>
      <c r="D48" t="inlineStr">
        <is>
          <t>Disbursement #03 - 07/08/2024</t>
        </is>
      </c>
      <c r="E48" t="inlineStr">
        <is>
          <t>Surveyors (13 new land surveys for concession areas) to complete 75%</t>
        </is>
      </c>
      <c r="F48" s="2" t="n">
        <v>9181.25</v>
      </c>
      <c r="G48" s="2" t="n">
        <v>9181.25</v>
      </c>
      <c r="H48" s="2">
        <f>F48-G48</f>
        <v/>
      </c>
    </row>
    <row r="49">
      <c r="A49" t="inlineStr">
        <is>
          <t>0.2</t>
        </is>
      </c>
      <c r="D49" t="inlineStr">
        <is>
          <t>Disbursement #03 - 07/08/2024</t>
        </is>
      </c>
      <c r="E49" t="inlineStr">
        <is>
          <t>Surveyor (2 new land surveys for concession areas)</t>
        </is>
      </c>
      <c r="F49" s="2" t="n">
        <v>5650</v>
      </c>
      <c r="G49" s="2" t="n">
        <v>5650</v>
      </c>
      <c r="H49" s="2">
        <f>F49-G49</f>
        <v/>
      </c>
    </row>
    <row r="50">
      <c r="A50" t="inlineStr">
        <is>
          <t>0.0001</t>
        </is>
      </c>
      <c r="D50" t="inlineStr">
        <is>
          <t>Disbursement #03 - 07/08/2024</t>
        </is>
      </c>
      <c r="E50" t="inlineStr">
        <is>
          <t>Soil Studies (to complete 75% after perforations and to get preliminar report)</t>
        </is>
      </c>
      <c r="F50" s="2" t="n">
        <v>6645.89</v>
      </c>
      <c r="G50" s="2" t="n">
        <v>6645.89</v>
      </c>
      <c r="H50" s="2">
        <f>F50-G50</f>
        <v/>
      </c>
    </row>
    <row r="51">
      <c r="A51" t="inlineStr">
        <is>
          <t>0.2</t>
        </is>
      </c>
      <c r="D51" t="inlineStr">
        <is>
          <t>Disbursement #03 - 07/08/2024</t>
        </is>
      </c>
      <c r="E51" t="inlineStr">
        <is>
          <t>Refund for Leandro and workers to chop property lines with Topographer</t>
        </is>
      </c>
      <c r="F51" s="2" t="n">
        <v>800</v>
      </c>
      <c r="G51" s="2" t="n">
        <v>800</v>
      </c>
      <c r="H51" s="2">
        <f>F51-G51</f>
        <v/>
      </c>
    </row>
    <row r="52">
      <c r="A52" t="inlineStr">
        <is>
          <t>0.0001</t>
        </is>
      </c>
      <c r="D52" t="inlineStr">
        <is>
          <t>Disbursement #03 - 07/08/2024</t>
        </is>
      </c>
      <c r="E52" t="inlineStr">
        <is>
          <t>Environmental Feasibility Report Final Installement to complete the 100%</t>
        </is>
      </c>
      <c r="F52" s="2" t="n">
        <v>17474.32</v>
      </c>
      <c r="G52" s="2" t="n">
        <v>17474.32</v>
      </c>
      <c r="H52" s="2">
        <f>F52-G52</f>
        <v/>
      </c>
    </row>
    <row r="53">
      <c r="A53" t="inlineStr">
        <is>
          <t>0.0001</t>
        </is>
      </c>
      <c r="D53" t="inlineStr">
        <is>
          <t>Disbursement #03 - 07/08/2024</t>
        </is>
      </c>
      <c r="E53" t="inlineStr">
        <is>
          <t>Tree Trimming $880+Vat per day Yedier Gustavo Gamboa Cerdas</t>
        </is>
      </c>
      <c r="F53" s="2" t="n">
        <v>6160</v>
      </c>
      <c r="G53" s="2" t="n">
        <v>6160</v>
      </c>
      <c r="H53" s="2">
        <f>F53-G53</f>
        <v/>
      </c>
    </row>
    <row r="54">
      <c r="A54" t="inlineStr">
        <is>
          <t>0.0001</t>
        </is>
      </c>
      <c r="D54" t="inlineStr">
        <is>
          <t>Disbursement #03 - 07/08/2024</t>
        </is>
      </c>
      <c r="E54" t="inlineStr">
        <is>
          <t>Trails Chopping $400+Vat per day Yedier Gustavo Gamboa Cerdas</t>
        </is>
      </c>
      <c r="F54" s="2" t="n">
        <v>20000</v>
      </c>
      <c r="G54" s="2" t="n">
        <v>20000</v>
      </c>
      <c r="H54" s="2">
        <f>F54-G54</f>
        <v/>
      </c>
    </row>
    <row r="55">
      <c r="A55" t="inlineStr">
        <is>
          <t>0.0001</t>
        </is>
      </c>
      <c r="D55" t="inlineStr">
        <is>
          <t>Disbursement #03 - 07/08/2024</t>
        </is>
      </c>
      <c r="E55" t="inlineStr">
        <is>
          <t>Mula supoort to access points for soil test ($50/day) until August 12th</t>
        </is>
      </c>
      <c r="F55" s="2" t="n">
        <v>1100</v>
      </c>
      <c r="G55" s="2" t="n">
        <v>1100</v>
      </c>
      <c r="H55" s="2">
        <f>F55-G55</f>
        <v/>
      </c>
    </row>
    <row r="56">
      <c r="A56" t="inlineStr">
        <is>
          <t>0.2</t>
        </is>
      </c>
      <c r="D56" t="inlineStr">
        <is>
          <t>Disbursement #03 - 07/08/2024</t>
        </is>
      </c>
      <c r="E56" t="inlineStr">
        <is>
          <t>Filing of "first Position in SINAC for Piñuelas Maritime Zone Usage" (legal fees,doc)</t>
        </is>
      </c>
      <c r="F56" s="2" t="n">
        <v>2500</v>
      </c>
      <c r="G56" s="2" t="n">
        <v>2500</v>
      </c>
      <c r="H56" s="2">
        <f>F56-G56</f>
        <v/>
      </c>
    </row>
    <row r="57">
      <c r="A57" t="inlineStr">
        <is>
          <t>0.3.1</t>
        </is>
      </c>
      <c r="D57" t="inlineStr">
        <is>
          <t>Disbursement #03 - 07/08/2024</t>
        </is>
      </c>
      <c r="E57" t="inlineStr">
        <is>
          <t>Corporate Structure - Reimbursement of Legal Costs</t>
        </is>
      </c>
      <c r="F57" s="2" t="n">
        <v>13227</v>
      </c>
      <c r="G57" s="2" t="n">
        <v>13227</v>
      </c>
      <c r="H57" s="2">
        <f>F57-G57</f>
        <v/>
      </c>
    </row>
    <row r="58">
      <c r="A58" t="inlineStr">
        <is>
          <t>0.3</t>
        </is>
      </c>
      <c r="D58" t="inlineStr">
        <is>
          <t>Payments out of ESCROW NOT REQUESTED IN THE DD LIST</t>
        </is>
      </c>
      <c r="E58" t="inlineStr">
        <is>
          <t>PV2 Fact Exp 22 - Legal / Escrow Fees</t>
        </is>
      </c>
      <c r="F58" s="2" t="n">
        <v>1965</v>
      </c>
      <c r="G58" s="2" t="n">
        <v>1965</v>
      </c>
      <c r="H58" s="2">
        <f>F58-G58</f>
        <v/>
      </c>
    </row>
    <row r="59">
      <c r="A59" t="inlineStr">
        <is>
          <t>0.3</t>
        </is>
      </c>
      <c r="D59" t="inlineStr">
        <is>
          <t>Payments out of ESCROW NOT REQUESTED IN THE DD LIST</t>
        </is>
      </c>
      <c r="E59" t="inlineStr">
        <is>
          <t>PV2 inv 1971-Inv1972 Legal expenses</t>
        </is>
      </c>
      <c r="F59" s="2" t="n">
        <v>14351</v>
      </c>
      <c r="G59" s="2" t="n">
        <v>14351</v>
      </c>
      <c r="H59" s="2">
        <f>F59-G59</f>
        <v/>
      </c>
    </row>
    <row r="60">
      <c r="A60" t="inlineStr">
        <is>
          <t>0.3</t>
        </is>
      </c>
      <c r="D60" t="inlineStr">
        <is>
          <t>Payments out of ESCROW NOT REQUESTED IN THE DD LIST</t>
        </is>
      </c>
      <c r="E60" t="inlineStr">
        <is>
          <t>PV2 Inv03 BL Hovde Master Legal expenses</t>
        </is>
      </c>
      <c r="F60" s="2" t="n">
        <v>3390</v>
      </c>
      <c r="G60" s="2" t="n">
        <v>3390</v>
      </c>
      <c r="H60" s="2">
        <f>F60-G60</f>
        <v/>
      </c>
    </row>
    <row r="61">
      <c r="A61" t="inlineStr">
        <is>
          <t>0.3</t>
        </is>
      </c>
      <c r="D61" t="inlineStr">
        <is>
          <t>Payments out of ESCROW NOT REQUESTED IN THE DD LIST</t>
        </is>
      </c>
      <c r="E61" t="inlineStr">
        <is>
          <t>Legal Fees Billed - PV2 FAC 2000 2001 P189 Alta Ba</t>
        </is>
      </c>
      <c r="F61" s="2" t="n">
        <v>12093.75</v>
      </c>
      <c r="G61" s="2" t="n">
        <v>12093.75</v>
      </c>
      <c r="H61" s="2">
        <f>F61-G61</f>
        <v/>
      </c>
    </row>
    <row r="62">
      <c r="A62" t="inlineStr">
        <is>
          <t>0.0001</t>
        </is>
      </c>
      <c r="D62" t="inlineStr">
        <is>
          <t>Disbursement #04 - 10/18/2024</t>
        </is>
      </c>
      <c r="E62" t="inlineStr">
        <is>
          <t>Soil Studies (final payment prior obtaining report)</t>
        </is>
      </c>
      <c r="F62" s="2" t="n">
        <v>7212.07</v>
      </c>
      <c r="G62" s="2" t="n">
        <v>7212.07</v>
      </c>
      <c r="H62" s="2">
        <f>F62-G62</f>
        <v/>
      </c>
    </row>
    <row r="63">
      <c r="A63" t="inlineStr">
        <is>
          <t>0.0001</t>
        </is>
      </c>
      <c r="D63" t="inlineStr">
        <is>
          <t>Disbursement #04 - 10/18/2024</t>
        </is>
      </c>
      <c r="E63" t="inlineStr">
        <is>
          <t>Soil Studies (Extra charge for difficult access to perforation points) 22 points</t>
        </is>
      </c>
      <c r="F63" s="2" t="n">
        <v>5883.9</v>
      </c>
      <c r="G63" s="2" t="n">
        <v>5883.9</v>
      </c>
      <c r="H63" s="2">
        <f>F63-G63</f>
        <v/>
      </c>
    </row>
    <row r="64">
      <c r="A64" t="inlineStr">
        <is>
          <t>0.2</t>
        </is>
      </c>
      <c r="D64" t="inlineStr">
        <is>
          <t>Disbursement #04 - 10/18/2024</t>
        </is>
      </c>
      <c r="E64" t="inlineStr">
        <is>
          <t>Surveyors (13 new land surveys for concession areas to complete 100% /Surveys were completed at filing )</t>
        </is>
      </c>
      <c r="F64" s="2" t="n">
        <v>9181.25</v>
      </c>
      <c r="G64" s="2" t="n">
        <v>9181.25</v>
      </c>
      <c r="H64" s="2">
        <f>F64-G64</f>
        <v/>
      </c>
    </row>
    <row r="65">
      <c r="A65" t="inlineStr">
        <is>
          <t>0.2</t>
        </is>
      </c>
      <c r="D65" t="inlineStr">
        <is>
          <t>Disbursement #04 - 10/18/2024</t>
        </is>
      </c>
      <c r="E65" t="inlineStr">
        <is>
          <t>Surveyors (2 Tortuga new land surveys for concession areas to complete 100% /Surveys were completed at filing )</t>
        </is>
      </c>
      <c r="F65" s="2" t="n">
        <v>1250</v>
      </c>
      <c r="G65" s="2" t="n">
        <v>1250</v>
      </c>
      <c r="H65" s="2">
        <f>F65-G65</f>
        <v/>
      </c>
    </row>
    <row r="66">
      <c r="A66" t="inlineStr">
        <is>
          <t>0.2</t>
        </is>
      </c>
      <c r="D66" t="inlineStr">
        <is>
          <t>Disbursement #04 - 10/18/2024</t>
        </is>
      </c>
      <c r="E66" t="inlineStr">
        <is>
          <t>Surveyors (13 new land surveys for concession areas) Adjusments after Muni/Minaet inspections</t>
        </is>
      </c>
      <c r="F66" s="2" t="n">
        <v>9181.25</v>
      </c>
      <c r="G66" s="2" t="n">
        <v>9181.25</v>
      </c>
      <c r="H66" s="2">
        <f>F66-G66</f>
        <v/>
      </c>
    </row>
    <row r="67">
      <c r="A67" t="inlineStr">
        <is>
          <t>0.2</t>
        </is>
      </c>
      <c r="D67" t="inlineStr">
        <is>
          <t>Disbursement #04 - 10/18/2024</t>
        </is>
      </c>
      <c r="E67" t="inlineStr">
        <is>
          <t>Surveyors (2 Tortuga new land surveys for concession areas) Adjusments after Muni/Minaet inspections</t>
        </is>
      </c>
      <c r="F67" s="2" t="n">
        <v>1250</v>
      </c>
      <c r="G67" s="2" t="n">
        <v>1250</v>
      </c>
      <c r="H67" s="2">
        <f>F67-G67</f>
        <v/>
      </c>
    </row>
    <row r="68">
      <c r="A68" t="inlineStr">
        <is>
          <t>0.0001</t>
        </is>
      </c>
      <c r="D68" t="inlineStr">
        <is>
          <t>Disbursement #04 - 10/18/2024</t>
        </is>
      </c>
      <c r="E68" t="inlineStr">
        <is>
          <t>Tree Trimming $880+Vat per day Yedier Gustavo Gamboa Cerdas</t>
        </is>
      </c>
      <c r="F68" s="2" t="n">
        <v>20998.91</v>
      </c>
      <c r="G68" s="2" t="n">
        <v>20998.91</v>
      </c>
      <c r="H68" s="2">
        <f>F68-G68</f>
        <v/>
      </c>
    </row>
    <row r="69">
      <c r="A69" t="inlineStr">
        <is>
          <t>0.0001</t>
        </is>
      </c>
      <c r="D69" t="inlineStr">
        <is>
          <t>Disbursement #04 - 10/18/2024</t>
        </is>
      </c>
      <c r="E69" t="inlineStr">
        <is>
          <t>Legal fees to file Concession areas Final Report to get concession areas and Patrimony areas</t>
        </is>
      </c>
      <c r="F69" s="2" t="n">
        <v>15000</v>
      </c>
      <c r="G69" s="2" t="n">
        <v>15000</v>
      </c>
      <c r="H69" s="2">
        <f>F69-G69</f>
        <v/>
      </c>
    </row>
    <row r="70">
      <c r="A70" t="inlineStr">
        <is>
          <t>0.0001</t>
        </is>
      </c>
      <c r="D70" t="inlineStr">
        <is>
          <t>Disbursement #04 - 10/18/2024</t>
        </is>
      </c>
      <c r="E70" t="inlineStr">
        <is>
          <t>Preliminary visit and requirements advisory for Patrimony (Eduardo)</t>
        </is>
      </c>
      <c r="F70" s="2" t="n">
        <v>5000</v>
      </c>
      <c r="G70" s="2" t="n">
        <v>5000</v>
      </c>
      <c r="H70" s="2">
        <f>F70-G70</f>
        <v/>
      </c>
    </row>
    <row r="71">
      <c r="A71" t="inlineStr">
        <is>
          <t>1.2</t>
        </is>
      </c>
      <c r="D71" t="inlineStr">
        <is>
          <t>Disbursement #05 - 16/12/2024</t>
        </is>
      </c>
      <c r="E71" t="inlineStr">
        <is>
          <t>Ventanas - Tree Trim Week Aug 1-2</t>
        </is>
      </c>
      <c r="F71" s="2" t="n">
        <v>5320</v>
      </c>
      <c r="G71" s="2" t="n">
        <v>5320</v>
      </c>
      <c r="H71" s="2">
        <f>F71-G71</f>
        <v/>
      </c>
    </row>
    <row r="72">
      <c r="A72" t="inlineStr">
        <is>
          <t>0.0001</t>
        </is>
      </c>
      <c r="D72" t="inlineStr">
        <is>
          <t>Disbursement #05 - 16/12/2024</t>
        </is>
      </c>
      <c r="E72" t="inlineStr">
        <is>
          <t>Cinco Ventanas - Tree Trimming and Landscaping - Ventanas - Week #3 Aug</t>
        </is>
      </c>
      <c r="F72" s="2" t="n">
        <v>300</v>
      </c>
      <c r="G72" s="2" t="n">
        <v>300</v>
      </c>
      <c r="H72" s="2">
        <f>F72-G72</f>
        <v/>
      </c>
    </row>
    <row r="73">
      <c r="A73" t="inlineStr">
        <is>
          <t>0.0001</t>
        </is>
      </c>
      <c r="D73" t="inlineStr">
        <is>
          <t>Disbursement #05 - 16/12/2024</t>
        </is>
      </c>
      <c r="E73" t="inlineStr">
        <is>
          <t>Cinco Ventanas - Tree Trimming and Landscaping - Ventanas - Week #4 Aug</t>
        </is>
      </c>
      <c r="F73" s="2" t="n">
        <v>300</v>
      </c>
      <c r="G73" s="2" t="n">
        <v>300</v>
      </c>
      <c r="H73" s="2">
        <f>F73-G73</f>
        <v/>
      </c>
    </row>
    <row r="74">
      <c r="A74" t="inlineStr">
        <is>
          <t>0.0001</t>
        </is>
      </c>
      <c r="D74" t="inlineStr">
        <is>
          <t>Disbursement #05 - 16/12/2024</t>
        </is>
      </c>
      <c r="E74" t="inlineStr">
        <is>
          <t>Cinco Ventanas - Tree Trimming and Landscaping - Ventanas - Week #1 Sept</t>
        </is>
      </c>
      <c r="F74" s="2" t="n">
        <v>300</v>
      </c>
      <c r="G74" s="2" t="n">
        <v>300</v>
      </c>
      <c r="H74" s="2">
        <f>F74-G74</f>
        <v/>
      </c>
    </row>
    <row r="75">
      <c r="A75" t="inlineStr">
        <is>
          <t>0.0001</t>
        </is>
      </c>
      <c r="D75" t="inlineStr">
        <is>
          <t>Disbursement #05 - 16/12/2024</t>
        </is>
      </c>
      <c r="E75" t="inlineStr">
        <is>
          <t>Cinco Ventanas - Tree Trimming and Landscaping - Ventanas - Week #2-4 Sept</t>
        </is>
      </c>
      <c r="F75" s="2" t="n">
        <v>1100</v>
      </c>
      <c r="G75" s="2" t="n">
        <v>1100</v>
      </c>
      <c r="H75" s="2">
        <f>F75-G75</f>
        <v/>
      </c>
    </row>
    <row r="76">
      <c r="A76" t="inlineStr">
        <is>
          <t>0.0001</t>
        </is>
      </c>
      <c r="D76" t="inlineStr">
        <is>
          <t>Disbursement #05 - 16/12/2024</t>
        </is>
      </c>
      <c r="E76" t="inlineStr">
        <is>
          <t>Cinco Ventanas - Tree Trimming and Landscaping - Ventanas - Week #1-4 Oct</t>
        </is>
      </c>
      <c r="F76" s="2" t="n">
        <v>2000</v>
      </c>
      <c r="G76" s="2" t="n">
        <v>2000</v>
      </c>
      <c r="H76" s="2">
        <f>F76-G76</f>
        <v/>
      </c>
    </row>
    <row r="77">
      <c r="A77" t="inlineStr">
        <is>
          <t>1.2</t>
        </is>
      </c>
      <c r="D77" t="inlineStr">
        <is>
          <t>Disbursement #05 - 16/12/2024</t>
        </is>
      </c>
      <c r="E77" t="inlineStr">
        <is>
          <t>Trimming and Views - Week 1-3 Nov 2024</t>
        </is>
      </c>
      <c r="F77" s="2" t="n">
        <v>1500</v>
      </c>
      <c r="G77" s="2" t="n">
        <v>1500</v>
      </c>
      <c r="H77" s="2">
        <f>F77-G77</f>
        <v/>
      </c>
    </row>
    <row r="78">
      <c r="A78" t="inlineStr">
        <is>
          <t>0.0001</t>
        </is>
      </c>
      <c r="D78" t="inlineStr">
        <is>
          <t>Disbursement #05 - 16/12/2024</t>
        </is>
      </c>
      <c r="E78" t="inlineStr">
        <is>
          <t>Ventanas - Reimbursement for Grass Chopping Venlanas</t>
        </is>
      </c>
      <c r="F78" s="2" t="n">
        <v>265.81</v>
      </c>
      <c r="G78" s="2" t="n">
        <v>265.81</v>
      </c>
      <c r="H78" s="2">
        <f>F78-G78</f>
        <v/>
      </c>
    </row>
    <row r="79">
      <c r="A79" t="inlineStr">
        <is>
          <t>0.6.1</t>
        </is>
      </c>
      <c r="D79" t="inlineStr">
        <is>
          <t>Disbursement #05 - 16/12/2024</t>
        </is>
      </c>
      <c r="E79" t="inlineStr">
        <is>
          <t>Days Worked - Grounds Maintenance Ventanas</t>
        </is>
      </c>
      <c r="F79" s="2" t="n">
        <v>475.25</v>
      </c>
      <c r="G79" s="2" t="n">
        <v>475.25</v>
      </c>
      <c r="H79" s="2">
        <f>F79-G79</f>
        <v/>
      </c>
    </row>
    <row r="80">
      <c r="A80" t="inlineStr">
        <is>
          <t>0.6.1</t>
        </is>
      </c>
      <c r="D80" t="inlineStr">
        <is>
          <t>Disbursement #05 - 16/12/2024</t>
        </is>
      </c>
      <c r="E80" t="inlineStr">
        <is>
          <t>Property Grounds Maintenance - Week of 11-09 - Ventanas</t>
        </is>
      </c>
      <c r="F80" s="2" t="n">
        <v>352.59</v>
      </c>
      <c r="G80" s="2" t="n">
        <v>352.59</v>
      </c>
      <c r="H80" s="2">
        <f>F80-G80</f>
        <v/>
      </c>
    </row>
    <row r="81">
      <c r="A81" t="inlineStr">
        <is>
          <t>0.6.1</t>
        </is>
      </c>
      <c r="D81" t="inlineStr">
        <is>
          <t>Disbursement #05 - 16/12/2024</t>
        </is>
      </c>
      <c r="E81" t="inlineStr">
        <is>
          <t>Grounds Main! Week 10-31 224 Ventanas</t>
        </is>
      </c>
      <c r="F81" s="2" t="n">
        <v>343.25</v>
      </c>
      <c r="G81" s="2" t="n">
        <v>343.25</v>
      </c>
      <c r="H81" s="2">
        <f>F81-G81</f>
        <v/>
      </c>
    </row>
    <row r="82">
      <c r="A82" t="inlineStr">
        <is>
          <t>0.6.1</t>
        </is>
      </c>
      <c r="D82" t="inlineStr">
        <is>
          <t>Disbursement #05 - 16/12/2024</t>
        </is>
      </c>
      <c r="E82" t="inlineStr">
        <is>
          <t>Grounds Mint Week 10-25 Ventanas</t>
        </is>
      </c>
      <c r="F82" s="2" t="n">
        <v>555.5599999999999</v>
      </c>
      <c r="G82" s="2" t="n">
        <v>555.5599999999999</v>
      </c>
      <c r="H82" s="2">
        <f>F82-G82</f>
        <v/>
      </c>
    </row>
    <row r="83">
      <c r="A83" t="inlineStr">
        <is>
          <t>0.6.1</t>
        </is>
      </c>
      <c r="D83" t="inlineStr">
        <is>
          <t>Disbursement #05 - 16/12/2024</t>
        </is>
      </c>
      <c r="E83" t="inlineStr">
        <is>
          <t>Week from 11/16 and 11/23 Alexis Ventanas (refundable exp.)</t>
        </is>
      </c>
      <c r="F83" s="2" t="n">
        <v>990.02</v>
      </c>
      <c r="G83" s="2" t="n">
        <v>990.02</v>
      </c>
      <c r="H83" s="2">
        <f>F83-G83</f>
        <v/>
      </c>
    </row>
    <row r="84">
      <c r="A84" t="inlineStr">
        <is>
          <t>0.6.1</t>
        </is>
      </c>
      <c r="D84" t="inlineStr">
        <is>
          <t>Disbursement #05 - 16/12/2024</t>
        </is>
      </c>
      <c r="E84" t="inlineStr">
        <is>
          <t>Grounds Maintenance - Ventanas Week 11-30 / 12-14</t>
        </is>
      </c>
      <c r="F84" s="2" t="n">
        <v>921.21</v>
      </c>
      <c r="G84" s="2" t="n">
        <v>921.21</v>
      </c>
      <c r="H84" s="2">
        <f>F84-G84</f>
        <v/>
      </c>
    </row>
    <row r="85">
      <c r="A85" t="inlineStr">
        <is>
          <t>0.7</t>
        </is>
      </c>
      <c r="D85" t="inlineStr">
        <is>
          <t>Disbursement #05 - 16/12/2024</t>
        </is>
      </c>
      <c r="E85" t="inlineStr">
        <is>
          <t>Driveway and Pad Ventanas</t>
        </is>
      </c>
      <c r="F85" s="2" t="n">
        <v>14200</v>
      </c>
      <c r="G85" s="2" t="n">
        <v>14200</v>
      </c>
      <c r="H85" s="2">
        <f>F85-G85</f>
        <v/>
      </c>
    </row>
    <row r="86">
      <c r="A86" t="inlineStr">
        <is>
          <t>0.7</t>
        </is>
      </c>
      <c r="D86" t="inlineStr">
        <is>
          <t>Disbursement #05 - 16/12/2024</t>
        </is>
      </c>
      <c r="E86" t="inlineStr">
        <is>
          <t>Dev. Director Monthly Fee Nov 2024</t>
        </is>
      </c>
      <c r="F86" s="2" t="n">
        <v>14125</v>
      </c>
      <c r="G86" s="2" t="n">
        <v>14125</v>
      </c>
      <c r="H86" s="2">
        <f>F86-G86</f>
        <v/>
      </c>
    </row>
    <row r="87">
      <c r="A87" t="inlineStr">
        <is>
          <t>0.7</t>
        </is>
      </c>
      <c r="D87" t="inlineStr">
        <is>
          <t>Disbursement #05 - 16/12/2024</t>
        </is>
      </c>
      <c r="E87" t="inlineStr">
        <is>
          <t>Dev. Director Monthly Fee Dec 2024</t>
        </is>
      </c>
      <c r="F87" s="2" t="n">
        <v>14125</v>
      </c>
      <c r="G87" s="2" t="n">
        <v>14125</v>
      </c>
      <c r="H87" s="2">
        <f>F87-G87</f>
        <v/>
      </c>
    </row>
    <row r="88">
      <c r="A88" t="inlineStr">
        <is>
          <t>0.3</t>
        </is>
      </c>
      <c r="D88" t="inlineStr">
        <is>
          <t>Disbursement #05 - 16/12/2024</t>
        </is>
      </c>
      <c r="E88" t="inlineStr">
        <is>
          <t>Legal Fees Rendered Ventanas</t>
        </is>
      </c>
      <c r="F88" s="2" t="n">
        <v>18712.8</v>
      </c>
      <c r="G88" s="2" t="n">
        <v>18712.8</v>
      </c>
      <c r="H88" s="2">
        <f>F88-G88</f>
        <v/>
      </c>
    </row>
    <row r="89">
      <c r="A89" t="inlineStr">
        <is>
          <t>0.4</t>
        </is>
      </c>
      <c r="D89" t="inlineStr">
        <is>
          <t>Disbursement #05 - 16/12/2024</t>
        </is>
      </c>
      <c r="E89" t="inlineStr">
        <is>
          <t>Financial Controller 25% Salary -Ventanas</t>
        </is>
      </c>
      <c r="F89" s="2" t="n">
        <v>2055</v>
      </c>
      <c r="G89" s="2" t="n">
        <v>2055</v>
      </c>
      <c r="H89" s="2">
        <f>F89-G89</f>
        <v/>
      </c>
    </row>
    <row r="90">
      <c r="A90" t="inlineStr">
        <is>
          <t>0.4</t>
        </is>
      </c>
      <c r="D90" t="inlineStr">
        <is>
          <t>Disbursement #05 - 16/12/2024</t>
        </is>
      </c>
      <c r="E90" t="inlineStr">
        <is>
          <t>Admin Fee Budget</t>
        </is>
      </c>
      <c r="F90" s="2" t="n">
        <v>1695</v>
      </c>
      <c r="G90" s="2" t="n">
        <v>1695</v>
      </c>
      <c r="H90" s="2">
        <f>F90-G90</f>
        <v/>
      </c>
    </row>
    <row r="91">
      <c r="A91" t="inlineStr">
        <is>
          <t>0.7</t>
        </is>
      </c>
      <c r="D91" t="inlineStr">
        <is>
          <t>Disbursement #05 - 16/12/2024</t>
        </is>
      </c>
      <c r="E91" t="inlineStr">
        <is>
          <t>To be Sent to Miami - Waiting for Wiring Instructions</t>
        </is>
      </c>
      <c r="F91" s="2" t="n">
        <v>18350</v>
      </c>
      <c r="G91" s="2" t="n">
        <v>18350</v>
      </c>
      <c r="H91" s="2">
        <f>F91-G91</f>
        <v/>
      </c>
    </row>
    <row r="92">
      <c r="A92" t="inlineStr">
        <is>
          <t>0.7</t>
        </is>
      </c>
      <c r="D92" t="inlineStr">
        <is>
          <t>Disbursement #05 - 16/12/2024</t>
        </is>
      </c>
      <c r="E92" t="inlineStr">
        <is>
          <t>To be Sent to Miami - Bank fees for inU wire</t>
        </is>
      </c>
      <c r="F92" s="2" t="n">
        <v>120</v>
      </c>
      <c r="G92" s="2" t="n">
        <v>120</v>
      </c>
      <c r="H92" s="2">
        <f>F92-G92</f>
        <v/>
      </c>
    </row>
    <row r="93">
      <c r="A93" t="inlineStr">
        <is>
          <t>6.2</t>
        </is>
      </c>
      <c r="D93" t="inlineStr">
        <is>
          <t>Disbursement #06 - 01/13/2025</t>
        </is>
      </c>
      <c r="E93" t="inlineStr">
        <is>
          <t>Cinco Ventanas Lot
 Survey Easement</t>
        </is>
      </c>
      <c r="F93" s="2" t="n">
        <v>2500</v>
      </c>
      <c r="G93" s="2" t="n">
        <v>2500</v>
      </c>
      <c r="H93" s="2">
        <f>F93-G93</f>
        <v/>
      </c>
    </row>
    <row r="94">
      <c r="A94" t="inlineStr">
        <is>
          <t>6.3</t>
        </is>
      </c>
      <c r="D94" t="inlineStr">
        <is>
          <t>Disbursement #06 - 01/13/2025</t>
        </is>
      </c>
      <c r="E94" t="inlineStr">
        <is>
          <t>Driveway and Pad Final Payment</t>
        </is>
      </c>
      <c r="F94" s="2" t="n">
        <v>9885.9</v>
      </c>
      <c r="G94" s="2" t="n">
        <v>9885.9</v>
      </c>
      <c r="H94" s="2">
        <f>F94-G94</f>
        <v/>
      </c>
    </row>
    <row r="95">
      <c r="A95" t="inlineStr">
        <is>
          <t>3.1</t>
        </is>
      </c>
      <c r="D95" t="inlineStr">
        <is>
          <t>Disbursement #06 - 01/13/2025</t>
        </is>
      </c>
      <c r="E95" t="inlineStr">
        <is>
          <t>Ventanas
 DEHC Civil Engineer (Hydro/Discharge/MP Review)</t>
        </is>
      </c>
      <c r="F95" s="2" t="n">
        <v>17967</v>
      </c>
      <c r="G95" s="2" t="n">
        <v>17967</v>
      </c>
      <c r="H95" s="2">
        <f>F95-G95</f>
        <v/>
      </c>
    </row>
    <row r="96">
      <c r="A96" t="inlineStr">
        <is>
          <t>3.1</t>
        </is>
      </c>
      <c r="D96" t="inlineStr">
        <is>
          <t>Disbursement #06 - 01/13/2025</t>
        </is>
      </c>
      <c r="E96" t="inlineStr">
        <is>
          <t>Eduardo Patrimony / Forestry</t>
        </is>
      </c>
      <c r="F96" s="2" t="n">
        <v>4972</v>
      </c>
      <c r="G96" s="2" t="n">
        <v>4972</v>
      </c>
      <c r="H96" s="2">
        <f>F96-G96</f>
        <v/>
      </c>
    </row>
    <row r="97">
      <c r="A97" t="inlineStr">
        <is>
          <t>0.7</t>
        </is>
      </c>
      <c r="D97" t="inlineStr">
        <is>
          <t>Disbursement #06 - 01/13/2025</t>
        </is>
      </c>
      <c r="E97" t="inlineStr">
        <is>
          <t>Development Director Jan</t>
        </is>
      </c>
      <c r="F97" s="2" t="n">
        <v>14125</v>
      </c>
      <c r="G97" s="2" t="n">
        <v>14125</v>
      </c>
      <c r="H97" s="2">
        <f>F97-G97</f>
        <v/>
      </c>
    </row>
    <row r="98">
      <c r="A98" t="inlineStr">
        <is>
          <t>0.4</t>
        </is>
      </c>
      <c r="D98" t="inlineStr">
        <is>
          <t>Disbursement #06 - 01/13/2025</t>
        </is>
      </c>
      <c r="E98" t="inlineStr">
        <is>
          <t>Admin Fee Budget + Financial Controller 25% Salary</t>
        </is>
      </c>
      <c r="F98" s="2" t="n">
        <v>3750</v>
      </c>
      <c r="G98" s="2" t="n">
        <v>3750</v>
      </c>
      <c r="H98" s="2">
        <f>F98-G98</f>
        <v/>
      </c>
    </row>
    <row r="99">
      <c r="A99" t="inlineStr">
        <is>
          <t>0.4</t>
        </is>
      </c>
      <c r="D99" t="inlineStr">
        <is>
          <t>Disbursement #06 - 01/13/2025</t>
        </is>
      </c>
      <c r="E99" t="inlineStr">
        <is>
          <t>Farm Manager+ Worker</t>
        </is>
      </c>
      <c r="F99" s="2" t="n">
        <v>1600</v>
      </c>
      <c r="G99" s="2" t="n">
        <v>1600</v>
      </c>
      <c r="H99" s="2">
        <f>F99-G99</f>
        <v/>
      </c>
    </row>
    <row r="100">
      <c r="A100" t="inlineStr">
        <is>
          <t>0.4</t>
        </is>
      </c>
      <c r="D100" t="inlineStr">
        <is>
          <t>Disbursement #06 - 01/13/2025</t>
        </is>
      </c>
      <c r="E100" t="inlineStr">
        <is>
          <t>CCSS (Social Security)</t>
        </is>
      </c>
      <c r="F100" s="2" t="n">
        <v>800</v>
      </c>
      <c r="G100" s="2" t="n">
        <v>800</v>
      </c>
      <c r="H100" s="2">
        <f>F100-G100</f>
        <v/>
      </c>
    </row>
    <row r="101">
      <c r="A101" t="inlineStr">
        <is>
          <t>0.0001</t>
        </is>
      </c>
      <c r="D101" t="inlineStr">
        <is>
          <t>Disbursement #06 - 01/13/2025</t>
        </is>
      </c>
      <c r="E101" t="inlineStr">
        <is>
          <t>Pura Vida Drilling - Satellite Analysis</t>
        </is>
      </c>
      <c r="F101" s="2" t="n">
        <v>1695</v>
      </c>
      <c r="G101" s="2" t="n">
        <v>1695</v>
      </c>
      <c r="H101" s="2">
        <f>F101-G101</f>
        <v/>
      </c>
    </row>
    <row r="102">
      <c r="A102" t="inlineStr">
        <is>
          <t>1.3</t>
        </is>
      </c>
      <c r="D102" t="inlineStr">
        <is>
          <t>Disbursement #06 - 01/13/2025</t>
        </is>
      </c>
      <c r="E102" t="inlineStr">
        <is>
          <t>Open Paths to Private Beaches (Celina / Elefante)</t>
        </is>
      </c>
      <c r="F102" s="2" t="n">
        <v>6480</v>
      </c>
      <c r="G102" s="2" t="n">
        <v>6480</v>
      </c>
      <c r="H102" s="2">
        <f>F102-G102</f>
        <v/>
      </c>
    </row>
    <row r="103">
      <c r="A103" t="inlineStr">
        <is>
          <t>6.2</t>
        </is>
      </c>
      <c r="D103" t="inlineStr">
        <is>
          <t>Disbursement #06 - 01/13/2025</t>
        </is>
      </c>
      <c r="E103" t="inlineStr">
        <is>
          <t>Legal Fees</t>
        </is>
      </c>
      <c r="F103" s="2" t="n">
        <v>7950</v>
      </c>
      <c r="G103" s="2" t="n">
        <v>7950</v>
      </c>
      <c r="H103" s="2">
        <f>F103-G103</f>
        <v/>
      </c>
    </row>
    <row r="104">
      <c r="A104" t="inlineStr">
        <is>
          <t>0.911</t>
        </is>
      </c>
      <c r="D104" t="inlineStr">
        <is>
          <t>Disbursement #06 - 01/13/2025</t>
        </is>
      </c>
      <c r="E104" t="inlineStr">
        <is>
          <t>Gates</t>
        </is>
      </c>
      <c r="F104" s="2" t="n">
        <v>6000</v>
      </c>
      <c r="G104" s="2" t="n">
        <v>6000</v>
      </c>
      <c r="H104" s="2">
        <f>F104-G104</f>
        <v/>
      </c>
    </row>
    <row r="105">
      <c r="A105" t="inlineStr">
        <is>
          <t>0.6.4</t>
        </is>
      </c>
      <c r="D105" t="inlineStr">
        <is>
          <t>Disbursement #06 - 01/13/2025</t>
        </is>
      </c>
      <c r="E105" t="inlineStr">
        <is>
          <t>Property Maintenance</t>
        </is>
      </c>
      <c r="F105" s="2" t="n">
        <v>20000</v>
      </c>
      <c r="G105" s="2" t="n">
        <v>20000</v>
      </c>
      <c r="H105" s="2">
        <f>F105-G105</f>
        <v/>
      </c>
    </row>
    <row r="106">
      <c r="A106" t="inlineStr">
        <is>
          <t>0.7</t>
        </is>
      </c>
      <c r="D106" t="inlineStr">
        <is>
          <t>Disbursement #07 - 03/10/2026</t>
        </is>
      </c>
      <c r="E106" t="inlineStr">
        <is>
          <t>Development Director Feb 2025</t>
        </is>
      </c>
      <c r="F106" s="2" t="n">
        <v>14125</v>
      </c>
      <c r="G106" s="2" t="n">
        <v>14125</v>
      </c>
      <c r="H106" s="2">
        <f>F106-G106</f>
        <v/>
      </c>
    </row>
    <row r="107">
      <c r="A107" t="inlineStr">
        <is>
          <t>0.4</t>
        </is>
      </c>
      <c r="D107" t="inlineStr">
        <is>
          <t>Disbursement #07 - 03/10/2026</t>
        </is>
      </c>
      <c r="E107" t="inlineStr">
        <is>
          <t>Admin Fee Budget + Financial Controller 25% Salary Feb 2025</t>
        </is>
      </c>
      <c r="F107" s="2" t="n">
        <v>3750</v>
      </c>
      <c r="G107" s="2" t="n">
        <v>3750</v>
      </c>
      <c r="H107" s="2">
        <f>F107-G107</f>
        <v/>
      </c>
    </row>
    <row r="108">
      <c r="A108" t="inlineStr">
        <is>
          <t>0.4</t>
        </is>
      </c>
      <c r="D108" t="inlineStr">
        <is>
          <t>Disbursement #07 - 03/10/2026</t>
        </is>
      </c>
      <c r="E108" t="inlineStr">
        <is>
          <t>Farm Manager + Worker Feb 2025</t>
        </is>
      </c>
      <c r="F108" s="2" t="n">
        <v>1600</v>
      </c>
      <c r="G108" s="2" t="n">
        <v>1600</v>
      </c>
      <c r="H108" s="2">
        <f>F108-G108</f>
        <v/>
      </c>
    </row>
    <row r="109">
      <c r="A109" t="inlineStr">
        <is>
          <t>0.4</t>
        </is>
      </c>
      <c r="D109" t="inlineStr">
        <is>
          <t>Disbursement #07 - 03/10/2026</t>
        </is>
      </c>
      <c r="E109" t="inlineStr">
        <is>
          <t>CCSS (Social Security) Feb 2025</t>
        </is>
      </c>
      <c r="F109" s="2" t="n">
        <v>800</v>
      </c>
      <c r="G109" s="2" t="n">
        <v>800</v>
      </c>
      <c r="H109" s="2">
        <f>F109-G109</f>
        <v/>
      </c>
    </row>
    <row r="110">
      <c r="A110" t="inlineStr">
        <is>
          <t>1.4</t>
        </is>
      </c>
      <c r="D110" t="inlineStr">
        <is>
          <t>Disbursement #07 - 03/10/2026</t>
        </is>
      </c>
      <c r="E110" t="inlineStr">
        <is>
          <t>Water System 30% Downpayment of 155 000.00
 $45 500.00</t>
        </is>
      </c>
      <c r="F110" s="2" t="n">
        <v>46500</v>
      </c>
      <c r="G110" s="2" t="n">
        <v>46499.99647058824</v>
      </c>
      <c r="H110" s="2">
        <f>F110-G110</f>
        <v/>
      </c>
    </row>
    <row r="111">
      <c r="A111" t="inlineStr">
        <is>
          <t>0.7</t>
        </is>
      </c>
      <c r="D111" t="inlineStr">
        <is>
          <t>Disbursement #07 - 03/10/2026</t>
        </is>
      </c>
      <c r="E111" t="inlineStr">
        <is>
          <t>Legal Expenses - Land Use Concessions (ALTA BATALLA)} 50%</t>
        </is>
      </c>
      <c r="F111" s="2" t="n">
        <v>7250</v>
      </c>
      <c r="G111" s="2" t="n">
        <v>7250</v>
      </c>
      <c r="H111" s="2">
        <f>F111-G111</f>
        <v/>
      </c>
    </row>
    <row r="112">
      <c r="A112" t="inlineStr">
        <is>
          <t>0.9</t>
        </is>
      </c>
      <c r="D112" t="inlineStr">
        <is>
          <t>Disbursement #07 - 03/10/2026</t>
        </is>
      </c>
      <c r="E112" t="inlineStr">
        <is>
          <t>Ventanas Road to Piñuela Gustavo Gamboa -
 Refund</t>
        </is>
      </c>
      <c r="F112" s="2" t="n">
        <v>1085</v>
      </c>
      <c r="G112" s="2" t="n">
        <v>1085</v>
      </c>
      <c r="H112" s="2">
        <f>F112-G112</f>
        <v/>
      </c>
    </row>
    <row r="113">
      <c r="A113" t="inlineStr">
        <is>
          <t>0.7</t>
        </is>
      </c>
      <c r="D113" t="inlineStr">
        <is>
          <t>Disbursement #09 - 04/10/2025</t>
        </is>
      </c>
      <c r="E113" t="inlineStr">
        <is>
          <t>Development Director March 2025</t>
        </is>
      </c>
      <c r="F113" s="2" t="n">
        <v>14125</v>
      </c>
      <c r="G113" s="2" t="n">
        <v>14125</v>
      </c>
      <c r="H113" s="2">
        <f>F113-G113</f>
        <v/>
      </c>
    </row>
    <row r="114">
      <c r="A114" t="inlineStr">
        <is>
          <t>0.4</t>
        </is>
      </c>
      <c r="D114" t="inlineStr">
        <is>
          <t>Disbursement #09 - 04/10/2025</t>
        </is>
      </c>
      <c r="E114" t="inlineStr">
        <is>
          <t>Admin Fee Budget + Financial Controller 25% Salary March 2025</t>
        </is>
      </c>
      <c r="F114" s="2" t="n">
        <v>3750</v>
      </c>
      <c r="G114" s="2" t="n">
        <v>3750</v>
      </c>
      <c r="H114" s="2">
        <f>F114-G114</f>
        <v/>
      </c>
    </row>
    <row r="115">
      <c r="A115" t="inlineStr">
        <is>
          <t>0.6.1</t>
        </is>
      </c>
      <c r="D115" t="inlineStr">
        <is>
          <t>Disbursement #09 - 04/10/2025</t>
        </is>
      </c>
      <c r="E115" t="inlineStr">
        <is>
          <t>Farm Manager + Worker March 2025</t>
        </is>
      </c>
      <c r="F115" s="2" t="n">
        <v>1600</v>
      </c>
      <c r="G115" s="2" t="n">
        <v>1600</v>
      </c>
      <c r="H115" s="2">
        <f>F115-G115</f>
        <v/>
      </c>
    </row>
    <row r="116">
      <c r="A116" t="inlineStr">
        <is>
          <t>0.6.1</t>
        </is>
      </c>
      <c r="D116" t="inlineStr">
        <is>
          <t>Disbursement #09 - 04/10/2025</t>
        </is>
      </c>
      <c r="E116" t="inlineStr">
        <is>
          <t>CCSS (Social Security) March 2025</t>
        </is>
      </c>
      <c r="F116" s="2" t="n">
        <v>800</v>
      </c>
      <c r="G116" s="2" t="n">
        <v>800</v>
      </c>
      <c r="H116" s="2">
        <f>F116-G116</f>
        <v/>
      </c>
    </row>
    <row r="117">
      <c r="A117" t="inlineStr">
        <is>
          <t>2.1.2</t>
        </is>
      </c>
      <c r="D117" t="inlineStr">
        <is>
          <t>Disbursement #09 - 04/10/2025</t>
        </is>
      </c>
      <c r="E117" t="inlineStr">
        <is>
          <t>EDSA November Payment</t>
        </is>
      </c>
      <c r="F117" s="2" t="n">
        <v>54131.6</v>
      </c>
      <c r="G117" s="2" t="n">
        <v>54131.6</v>
      </c>
      <c r="H117" s="2">
        <f>F117-G117</f>
        <v/>
      </c>
    </row>
    <row r="118">
      <c r="A118" t="inlineStr">
        <is>
          <t>2.1.3</t>
        </is>
      </c>
      <c r="D118" t="inlineStr">
        <is>
          <t>Disbursement #09 - 04/10/2025</t>
        </is>
      </c>
      <c r="E118" t="inlineStr">
        <is>
          <t>EDSA November Payment</t>
        </is>
      </c>
      <c r="F118" s="2" t="n">
        <v>7500</v>
      </c>
      <c r="G118" s="2" t="n">
        <v>7500</v>
      </c>
      <c r="H118" s="2">
        <f>F118-G118</f>
        <v/>
      </c>
    </row>
    <row r="119">
      <c r="A119" t="inlineStr">
        <is>
          <t>6.3</t>
        </is>
      </c>
      <c r="D119" t="inlineStr">
        <is>
          <t>Disbursement #09 - 04/10/2025</t>
        </is>
      </c>
      <c r="E119" t="inlineStr">
        <is>
          <t>Water Meters (CINCO VENTANAS)</t>
        </is>
      </c>
      <c r="F119" s="2" t="n">
        <v>556</v>
      </c>
      <c r="G119" s="2" t="n">
        <v>556</v>
      </c>
      <c r="H119" s="2">
        <f>F119-G119</f>
        <v/>
      </c>
    </row>
    <row r="120">
      <c r="A120" t="inlineStr">
        <is>
          <t>6.3</t>
        </is>
      </c>
      <c r="D120" t="inlineStr">
        <is>
          <t>Disbursement #09 - 04/10/2025</t>
        </is>
      </c>
      <c r="E120" t="inlineStr">
        <is>
          <t>INTERNAL ROAD (CINCO VENTANAS)</t>
        </is>
      </c>
      <c r="F120" s="2" t="n">
        <v>3000</v>
      </c>
      <c r="G120" s="2" t="n">
        <v>3000</v>
      </c>
      <c r="H120" s="2">
        <f>F120-G120</f>
        <v/>
      </c>
    </row>
    <row r="121">
      <c r="A121" t="inlineStr">
        <is>
          <t>3.1</t>
        </is>
      </c>
      <c r="D121" t="inlineStr">
        <is>
          <t>Disbursement #09 - 04/10/2025</t>
        </is>
      </c>
      <c r="E121" t="inlineStr">
        <is>
          <t>FOREST Inventory</t>
        </is>
      </c>
      <c r="F121" s="2" t="n">
        <v>2600</v>
      </c>
      <c r="G121" s="2" t="n">
        <v>2600</v>
      </c>
      <c r="H121" s="2">
        <f>F121-G121</f>
        <v/>
      </c>
    </row>
    <row r="122">
      <c r="A122" t="inlineStr">
        <is>
          <t>0.3</t>
        </is>
      </c>
      <c r="D122" t="inlineStr">
        <is>
          <t>Disbursement #09 - 04/10/2025</t>
        </is>
      </c>
      <c r="E122" t="inlineStr">
        <is>
          <t>Certified Cash flow preparation for new bank accounts - Ventanas Holding</t>
        </is>
      </c>
      <c r="F122" s="2" t="n">
        <v>282.5</v>
      </c>
      <c r="G122" s="2" t="n">
        <v>282.5</v>
      </c>
      <c r="H122" s="2">
        <f>F122-G122</f>
        <v/>
      </c>
    </row>
    <row r="123">
      <c r="A123" t="inlineStr">
        <is>
          <t>0.9</t>
        </is>
      </c>
      <c r="D123" t="inlineStr">
        <is>
          <t>Disbursement #09 - 04/10/2025</t>
        </is>
      </c>
      <c r="E123" t="inlineStr">
        <is>
          <t>Chopping Road pinuelas elefante</t>
        </is>
      </c>
      <c r="F123" s="2" t="n">
        <v>519.8</v>
      </c>
      <c r="G123" s="2" t="n">
        <v>519.8</v>
      </c>
      <c r="H123" s="2">
        <f>F123-G123</f>
        <v/>
      </c>
    </row>
    <row r="124">
      <c r="A124" t="inlineStr">
        <is>
          <t>0.9</t>
        </is>
      </c>
      <c r="D124" t="inlineStr">
        <is>
          <t>Disbursement #09 - 04/10/2025</t>
        </is>
      </c>
      <c r="E124" t="inlineStr">
        <is>
          <t>Chopping pinuelas behind pool path</t>
        </is>
      </c>
      <c r="F124" s="2" t="n">
        <v>169.5</v>
      </c>
      <c r="G124" s="2" t="n">
        <v>159.5</v>
      </c>
      <c r="H124" s="2">
        <f>F124-G124</f>
        <v/>
      </c>
    </row>
    <row r="125">
      <c r="A125" t="inlineStr">
        <is>
          <t>0.9</t>
        </is>
      </c>
      <c r="D125" t="inlineStr">
        <is>
          <t>Disbursement #09 - 04/10/2025</t>
        </is>
      </c>
      <c r="E125" t="inlineStr">
        <is>
          <t>Chopping pinuelas road</t>
        </is>
      </c>
      <c r="F125" s="2" t="n">
        <v>395.5</v>
      </c>
      <c r="G125" s="2" t="n">
        <v>395.5</v>
      </c>
      <c r="H125" s="2">
        <f>F125-G125</f>
        <v/>
      </c>
    </row>
    <row r="126">
      <c r="A126" t="inlineStr">
        <is>
          <t>6.3</t>
        </is>
      </c>
      <c r="D126" t="inlineStr">
        <is>
          <t>Disbursement #09 - 04/10/2025</t>
        </is>
      </c>
      <c r="E126" t="inlineStr">
        <is>
          <t>Work with topographer</t>
        </is>
      </c>
      <c r="F126" s="2" t="n">
        <v>141.25</v>
      </c>
      <c r="G126" s="2" t="n">
        <v>141.25</v>
      </c>
      <c r="H126" s="2">
        <f>F126-G126</f>
        <v/>
      </c>
    </row>
    <row r="127">
      <c r="A127" t="inlineStr">
        <is>
          <t>0.7</t>
        </is>
      </c>
      <c r="D127" t="inlineStr">
        <is>
          <t>Disbursement #10 - 05/01/2025</t>
        </is>
      </c>
      <c r="E127" t="inlineStr">
        <is>
          <t>Development Director Abril 2025</t>
        </is>
      </c>
      <c r="F127" s="2" t="n">
        <v>14125</v>
      </c>
      <c r="G127" s="2" t="n">
        <v>14125</v>
      </c>
      <c r="H127" s="2">
        <f>F127-G127</f>
        <v/>
      </c>
      <c r="I127" t="inlineStr">
        <is>
          <t>14125</t>
        </is>
      </c>
    </row>
    <row r="128">
      <c r="A128" t="inlineStr">
        <is>
          <t>0.4</t>
        </is>
      </c>
      <c r="D128" t="inlineStr">
        <is>
          <t>Disbursement #10 - 05/01/2025</t>
        </is>
      </c>
      <c r="E128" t="inlineStr">
        <is>
          <t>Admin Fee Budget + Financial Controller 25% Salary Abril  2025</t>
        </is>
      </c>
      <c r="F128" s="2" t="n">
        <v>3750</v>
      </c>
      <c r="G128" s="2" t="n">
        <v>3750</v>
      </c>
      <c r="H128" s="2">
        <f>F128-G128</f>
        <v/>
      </c>
      <c r="I128" t="inlineStr">
        <is>
          <t>6150</t>
        </is>
      </c>
    </row>
    <row r="129">
      <c r="A129" t="inlineStr">
        <is>
          <t>0.6.1</t>
        </is>
      </c>
      <c r="D129" t="inlineStr">
        <is>
          <t>Disbursement #10 - 05/01/2025</t>
        </is>
      </c>
      <c r="E129" t="inlineStr">
        <is>
          <t>Farm Manager + Worker April 2025</t>
        </is>
      </c>
      <c r="F129" s="2" t="n">
        <v>1600</v>
      </c>
      <c r="G129" s="2" t="n">
        <v>1600</v>
      </c>
      <c r="H129" s="2">
        <f>F129-G129</f>
        <v/>
      </c>
      <c r="I129" t="inlineStr">
        <is>
          <t>6150</t>
        </is>
      </c>
    </row>
    <row r="130">
      <c r="A130" t="inlineStr">
        <is>
          <t>0.6.1</t>
        </is>
      </c>
      <c r="D130" t="inlineStr">
        <is>
          <t>Disbursement #10 - 05/01/2025</t>
        </is>
      </c>
      <c r="E130" t="inlineStr">
        <is>
          <t>CCSS (Social Security) April 2025</t>
        </is>
      </c>
      <c r="F130" s="2" t="n">
        <v>800</v>
      </c>
      <c r="G130" s="2" t="n">
        <v>800</v>
      </c>
      <c r="H130" s="2">
        <f>F130-G130</f>
        <v/>
      </c>
      <c r="I130" t="inlineStr">
        <is>
          <t>6150</t>
        </is>
      </c>
    </row>
    <row r="131">
      <c r="A131" t="inlineStr">
        <is>
          <t>6.3</t>
        </is>
      </c>
      <c r="D131" t="inlineStr">
        <is>
          <t>Disbursement #10 - 05/01/2025</t>
        </is>
      </c>
      <c r="E131" t="inlineStr">
        <is>
          <t>Internal Road (Cinco Ventanas)  Materials</t>
        </is>
      </c>
      <c r="F131" s="2" t="n">
        <v>4000</v>
      </c>
      <c r="G131" s="2" t="n">
        <v>4000</v>
      </c>
      <c r="H131" s="2">
        <f>F131-G131</f>
        <v/>
      </c>
    </row>
    <row r="132">
      <c r="A132" t="inlineStr">
        <is>
          <t>0.5</t>
        </is>
      </c>
      <c r="D132" t="inlineStr">
        <is>
          <t>Disbursement #10 - 05/01/2025</t>
        </is>
      </c>
      <c r="E132" t="inlineStr">
        <is>
          <t>Owners expenses pay back  to CWL</t>
        </is>
      </c>
      <c r="F132" s="2" t="n">
        <v>14851.54</v>
      </c>
      <c r="G132" s="2" t="n">
        <v>14851.54</v>
      </c>
      <c r="H132" s="2">
        <f>F132-G132</f>
        <v/>
      </c>
    </row>
    <row r="133">
      <c r="A133" t="inlineStr">
        <is>
          <t>0.911</t>
        </is>
      </c>
      <c r="D133" t="inlineStr">
        <is>
          <t>Disbursement #10 - 05/01/2025</t>
        </is>
      </c>
      <c r="E133" t="inlineStr">
        <is>
          <t>Construction Works in Piñuela – Gates</t>
        </is>
      </c>
      <c r="F133" s="2" t="n">
        <v>1400</v>
      </c>
      <c r="G133" s="2" t="n">
        <v>1400</v>
      </c>
      <c r="H133" s="2">
        <f>F133-G133</f>
        <v/>
      </c>
    </row>
    <row r="134">
      <c r="A134" t="inlineStr">
        <is>
          <t>3.1</t>
        </is>
      </c>
      <c r="D134" t="inlineStr">
        <is>
          <t>Disbursement #10 - 05/01/2025</t>
        </is>
      </c>
      <c r="E134" t="inlineStr">
        <is>
          <t>Forest stratification technical analysis.</t>
        </is>
      </c>
      <c r="F134" s="2" t="n">
        <v>3390</v>
      </c>
      <c r="G134" s="2" t="n">
        <v>3390</v>
      </c>
      <c r="H134" s="2">
        <f>F134-G134</f>
        <v/>
      </c>
    </row>
    <row r="135">
      <c r="A135" t="inlineStr">
        <is>
          <t>0.7</t>
        </is>
      </c>
      <c r="D135" t="inlineStr">
        <is>
          <t>Disbursement #11 - 06/01/2025</t>
        </is>
      </c>
      <c r="E135" t="inlineStr">
        <is>
          <t>Development Director MAY 2025</t>
        </is>
      </c>
      <c r="F135" s="2" t="n">
        <v>14125</v>
      </c>
      <c r="G135" s="2" t="n">
        <v>14125</v>
      </c>
      <c r="H135" s="2">
        <f>F135-G135</f>
        <v/>
      </c>
      <c r="I135" t="inlineStr">
        <is>
          <t>14125</t>
        </is>
      </c>
    </row>
    <row r="136">
      <c r="A136" t="inlineStr">
        <is>
          <t>0.4</t>
        </is>
      </c>
      <c r="D136" t="inlineStr">
        <is>
          <t>Disbursement #11 - 06/01/2025</t>
        </is>
      </c>
      <c r="E136" t="inlineStr">
        <is>
          <t>Admin Fee Budget + Financial Controller 25% Salary MAY  2025</t>
        </is>
      </c>
      <c r="F136" s="2" t="n">
        <v>3750</v>
      </c>
      <c r="G136" s="2" t="n">
        <v>3750</v>
      </c>
      <c r="H136" s="2">
        <f>F136-G136</f>
        <v/>
      </c>
      <c r="I136" t="inlineStr">
        <is>
          <t>6150</t>
        </is>
      </c>
    </row>
    <row r="137">
      <c r="A137" t="inlineStr">
        <is>
          <t>0.6.1</t>
        </is>
      </c>
      <c r="D137" t="inlineStr">
        <is>
          <t>Disbursement #11 - 06/01/2025</t>
        </is>
      </c>
      <c r="E137" t="inlineStr">
        <is>
          <t>Farm Manager + Worker MAY  2025</t>
        </is>
      </c>
      <c r="F137" s="2" t="n">
        <v>1600</v>
      </c>
      <c r="G137" s="2" t="n">
        <v>1600</v>
      </c>
      <c r="H137" s="2">
        <f>F137-G137</f>
        <v/>
      </c>
      <c r="I137" t="inlineStr">
        <is>
          <t>6150</t>
        </is>
      </c>
    </row>
    <row r="138">
      <c r="A138" t="inlineStr">
        <is>
          <t>0.6.1</t>
        </is>
      </c>
      <c r="D138" t="inlineStr">
        <is>
          <t>Disbursement #11 - 06/01/2025</t>
        </is>
      </c>
      <c r="E138" t="inlineStr">
        <is>
          <t>CCSS (Social Security) MAY 2025</t>
        </is>
      </c>
      <c r="F138" s="2" t="n">
        <v>800</v>
      </c>
      <c r="G138" s="2" t="n">
        <v>800</v>
      </c>
      <c r="H138" s="2">
        <f>F138-G138</f>
        <v/>
      </c>
      <c r="I138" t="inlineStr">
        <is>
          <t>6150</t>
        </is>
      </c>
    </row>
    <row r="139">
      <c r="A139" t="inlineStr">
        <is>
          <t>3.1</t>
        </is>
      </c>
      <c r="D139" t="inlineStr">
        <is>
          <t>Disbursement #11 - 06/01/2025</t>
        </is>
      </c>
      <c r="E139" t="inlineStr">
        <is>
          <t>YEDIER GUSTAVO GAMBOA CERDAS</t>
        </is>
      </c>
      <c r="F139" s="2" t="n">
        <v>380</v>
      </c>
      <c r="G139" s="2" t="n">
        <v>380</v>
      </c>
      <c r="H139" s="2">
        <f>F139-G139</f>
        <v/>
      </c>
      <c r="I139" t="inlineStr">
        <is>
          <t>380</t>
        </is>
      </c>
    </row>
    <row r="140">
      <c r="A140" t="inlineStr">
        <is>
          <t>3.1</t>
        </is>
      </c>
      <c r="D140" t="inlineStr">
        <is>
          <t>Disbursement #11 - 06/01/2025</t>
        </is>
      </c>
      <c r="E140" t="inlineStr">
        <is>
          <t>YEDIER GUSTAVO GAMBOA CERDAS</t>
        </is>
      </c>
      <c r="F140" s="2" t="n">
        <v>1130</v>
      </c>
      <c r="G140" s="2" t="n">
        <v>1130</v>
      </c>
      <c r="H140" s="2">
        <f>F140-G140</f>
        <v/>
      </c>
      <c r="I140" t="inlineStr">
        <is>
          <t>1130</t>
        </is>
      </c>
    </row>
    <row r="141">
      <c r="A141" t="inlineStr">
        <is>
          <t>0.6.4</t>
        </is>
      </c>
      <c r="D141" t="inlineStr">
        <is>
          <t>Disbursement #11 - 06/01/2025</t>
        </is>
      </c>
      <c r="E141" t="inlineStr">
        <is>
          <t>ALTA BATALLA</t>
        </is>
      </c>
      <c r="F141" s="2" t="n">
        <v>30</v>
      </c>
      <c r="G141" s="2" t="n">
        <v>30</v>
      </c>
      <c r="H141" s="2">
        <f>F141-G141</f>
        <v/>
      </c>
      <c r="I141" t="inlineStr">
        <is>
          <t>5002</t>
        </is>
      </c>
    </row>
    <row r="142">
      <c r="A142" t="inlineStr">
        <is>
          <t>0.6.4</t>
        </is>
      </c>
      <c r="D142" t="inlineStr">
        <is>
          <t>Disbursement #11 - 06/01/2025</t>
        </is>
      </c>
      <c r="E142" t="inlineStr">
        <is>
          <t>ALTA BATALLA</t>
        </is>
      </c>
      <c r="F142" s="2" t="n">
        <v>1017</v>
      </c>
      <c r="G142" s="2" t="n">
        <v>1017</v>
      </c>
      <c r="H142" s="2">
        <f>F142-G142</f>
        <v/>
      </c>
      <c r="I142" t="inlineStr">
        <is>
          <t>5002</t>
        </is>
      </c>
    </row>
    <row r="143">
      <c r="A143" t="inlineStr">
        <is>
          <t>0.6.4</t>
        </is>
      </c>
      <c r="D143" t="inlineStr">
        <is>
          <t>Disbursement #11 - 06/01/2025</t>
        </is>
      </c>
      <c r="E143" t="inlineStr">
        <is>
          <t>ALTA BATALLA</t>
        </is>
      </c>
      <c r="F143" s="2" t="n">
        <v>3955</v>
      </c>
      <c r="G143" s="2" t="n">
        <v>3955</v>
      </c>
      <c r="H143" s="2">
        <f>F143-G143</f>
        <v/>
      </c>
      <c r="I143" t="inlineStr">
        <is>
          <t>5002</t>
        </is>
      </c>
    </row>
    <row r="144">
      <c r="A144" t="inlineStr">
        <is>
          <t>0.5</t>
        </is>
      </c>
      <c r="D144" t="inlineStr">
        <is>
          <t>Disbursement #11 - 06/01/2025</t>
        </is>
      </c>
      <c r="E144" t="inlineStr">
        <is>
          <t>NACASCOLO AIR (SJO TO VENTANAS)</t>
        </is>
      </c>
      <c r="F144" s="2" t="n">
        <v>4620</v>
      </c>
      <c r="G144" s="2" t="n">
        <v>4620</v>
      </c>
      <c r="H144" s="2">
        <f>F144-G144</f>
        <v/>
      </c>
      <c r="I144" t="inlineStr">
        <is>
          <t>7467.61</t>
        </is>
      </c>
    </row>
    <row r="145">
      <c r="A145" t="inlineStr">
        <is>
          <t>0.5</t>
        </is>
      </c>
      <c r="D145" t="inlineStr">
        <is>
          <t>Disbursement #11 - 06/01/2025</t>
        </is>
      </c>
      <c r="E145" t="inlineStr">
        <is>
          <t>NACASCOLO AIR (QUEPOS TO SJO)</t>
        </is>
      </c>
      <c r="F145" s="2" t="n">
        <v>2847.6</v>
      </c>
      <c r="G145" s="2" t="n">
        <v>2847.6</v>
      </c>
      <c r="H145" s="2">
        <f>F145-G145</f>
        <v/>
      </c>
      <c r="I145" t="inlineStr">
        <is>
          <t>7467.61</t>
        </is>
      </c>
    </row>
    <row r="146">
      <c r="A146" t="inlineStr">
        <is>
          <t>0.5</t>
        </is>
      </c>
      <c r="D146" t="inlineStr">
        <is>
          <t>Disbursement #11 - 06/01/2025</t>
        </is>
      </c>
      <c r="E146" t="inlineStr">
        <is>
          <t>OXIGEN JUNGLE VILLAS</t>
        </is>
      </c>
      <c r="F146" s="2" t="n">
        <v>3101.85</v>
      </c>
      <c r="G146" s="2" t="n">
        <v>3101.85</v>
      </c>
      <c r="H146" s="2">
        <f>F146-G146</f>
        <v/>
      </c>
      <c r="I146" t="inlineStr">
        <is>
          <t>3101.85</t>
        </is>
      </c>
    </row>
    <row r="147">
      <c r="A147" t="inlineStr">
        <is>
          <t>5.8</t>
        </is>
      </c>
      <c r="D147" t="inlineStr">
        <is>
          <t>Disbursement #11 - 06/01/2025</t>
        </is>
      </c>
      <c r="E147" t="inlineStr">
        <is>
          <t>Topography  Services</t>
        </is>
      </c>
      <c r="F147" s="2" t="n">
        <v>15000</v>
      </c>
      <c r="G147" s="2" t="n">
        <v>0</v>
      </c>
      <c r="H147" s="2">
        <f>F147-G147</f>
        <v/>
      </c>
    </row>
    <row r="148">
      <c r="A148" t="inlineStr">
        <is>
          <t>5.8</t>
        </is>
      </c>
      <c r="D148" t="inlineStr">
        <is>
          <t>Disbursement #11 - 06/01/2025</t>
        </is>
      </c>
      <c r="E148" t="inlineStr">
        <is>
          <t>Legal: Concessions  and Muncipality Meetings</t>
        </is>
      </c>
      <c r="F148" s="2" t="n">
        <v>7500</v>
      </c>
      <c r="G148" s="2" t="n">
        <v>0</v>
      </c>
      <c r="H148" s="2">
        <f>F148-G148</f>
        <v/>
      </c>
    </row>
    <row r="149">
      <c r="A149" t="inlineStr">
        <is>
          <t>0.7</t>
        </is>
      </c>
      <c r="D149" t="inlineStr">
        <is>
          <t>Disbursement #12 - 07/01/2025</t>
        </is>
      </c>
      <c r="E149" t="inlineStr">
        <is>
          <t>Development Director JUNE  2025</t>
        </is>
      </c>
      <c r="F149" s="2" t="n">
        <v>14125</v>
      </c>
      <c r="G149" s="2" t="n">
        <v>14125</v>
      </c>
      <c r="H149" s="2">
        <f>F149-G149</f>
        <v/>
      </c>
      <c r="I149" t="inlineStr">
        <is>
          <t>14125</t>
        </is>
      </c>
    </row>
    <row r="150">
      <c r="A150" t="inlineStr">
        <is>
          <t>0.4</t>
        </is>
      </c>
      <c r="D150" t="inlineStr">
        <is>
          <t>Disbursement #12 - 07/01/2025</t>
        </is>
      </c>
      <c r="E150" t="inlineStr">
        <is>
          <t>Admin Fee Budget + Financial Controller 25% Salary JUNE  2025</t>
        </is>
      </c>
      <c r="F150" s="2" t="n">
        <v>3750</v>
      </c>
      <c r="G150" s="2" t="n">
        <v>3750</v>
      </c>
      <c r="H150" s="2">
        <f>F150-G150</f>
        <v/>
      </c>
      <c r="I150" t="inlineStr">
        <is>
          <t>6150</t>
        </is>
      </c>
    </row>
    <row r="151">
      <c r="A151" t="inlineStr">
        <is>
          <t>0.4</t>
        </is>
      </c>
      <c r="D151" t="inlineStr">
        <is>
          <t>Disbursement #12 - 07/01/2025</t>
        </is>
      </c>
      <c r="E151" t="inlineStr">
        <is>
          <t>Farm Manager + Worker JUNE 2025</t>
        </is>
      </c>
      <c r="F151" s="2" t="n">
        <v>1600</v>
      </c>
      <c r="G151" s="2" t="n">
        <v>1600</v>
      </c>
      <c r="H151" s="2">
        <f>F151-G151</f>
        <v/>
      </c>
      <c r="I151" t="inlineStr">
        <is>
          <t>6150</t>
        </is>
      </c>
    </row>
    <row r="152">
      <c r="A152" t="inlineStr">
        <is>
          <t>0.4</t>
        </is>
      </c>
      <c r="D152" t="inlineStr">
        <is>
          <t>Disbursement #12 - 07/01/2025</t>
        </is>
      </c>
      <c r="E152" t="inlineStr">
        <is>
          <t>CCSS (Social Security) JUNE 2025</t>
        </is>
      </c>
      <c r="F152" s="2" t="n">
        <v>800</v>
      </c>
      <c r="G152" s="2" t="n">
        <v>800</v>
      </c>
      <c r="H152" s="2">
        <f>F152-G152</f>
        <v/>
      </c>
      <c r="I152" t="inlineStr">
        <is>
          <t>6150</t>
        </is>
      </c>
    </row>
    <row r="153">
      <c r="A153" t="inlineStr">
        <is>
          <t>1.4</t>
        </is>
      </c>
      <c r="D153" t="inlineStr">
        <is>
          <t>Disbursement #12 - 07/01/2025</t>
        </is>
      </c>
      <c r="E153" t="inlineStr">
        <is>
          <t>Water System 70% Downpayment of 155 000.00 ($109500) PAID $46500</t>
        </is>
      </c>
      <c r="F153" s="2" t="n">
        <v>109500</v>
      </c>
      <c r="G153" s="2" t="n">
        <v>109500</v>
      </c>
      <c r="H153" s="2">
        <f>F153-G153</f>
        <v/>
      </c>
    </row>
    <row r="154">
      <c r="A154" t="inlineStr">
        <is>
          <t>0.5</t>
        </is>
      </c>
      <c r="D154" t="inlineStr">
        <is>
          <t>Disbursement #12 - 07/01/2025</t>
        </is>
      </c>
      <c r="E154" t="inlineStr">
        <is>
          <t>Invoice from Oxigen for Meals</t>
        </is>
      </c>
      <c r="F154" s="2" t="n">
        <v>137.39</v>
      </c>
      <c r="G154" s="2" t="n">
        <v>137.39</v>
      </c>
      <c r="H154" s="2">
        <f>F154-G154</f>
        <v/>
      </c>
      <c r="I154" t="inlineStr">
        <is>
          <t>137.39</t>
        </is>
      </c>
    </row>
    <row r="155">
      <c r="A155" t="inlineStr">
        <is>
          <t>3.1</t>
        </is>
      </c>
      <c r="D155" t="inlineStr">
        <is>
          <t>Disbursement #12 - 07/01/2025</t>
        </is>
      </c>
      <c r="E155" t="inlineStr">
        <is>
          <t>Treeming for view Ventanas with Blake and Karol</t>
        </is>
      </c>
      <c r="F155" s="2" t="n">
        <v>1130</v>
      </c>
      <c r="G155" s="2" t="n">
        <v>1130</v>
      </c>
      <c r="H155" s="2">
        <f>F155-G155</f>
        <v/>
      </c>
      <c r="I155" t="inlineStr">
        <is>
          <t>1130</t>
        </is>
      </c>
    </row>
    <row r="156">
      <c r="A156" t="inlineStr">
        <is>
          <t>3.1</t>
        </is>
      </c>
      <c r="D156" t="inlineStr">
        <is>
          <t>Disbursement #12 - 07/01/2025</t>
        </is>
      </c>
      <c r="E156" t="inlineStr">
        <is>
          <t>Pura Selva clearing the area for the gaviones</t>
        </is>
      </c>
      <c r="F156" s="2" t="n">
        <v>380</v>
      </c>
      <c r="G156" s="2" t="n">
        <v>380</v>
      </c>
      <c r="H156" s="2">
        <f>F156-G156</f>
        <v/>
      </c>
      <c r="I156" t="inlineStr">
        <is>
          <t>380</t>
        </is>
      </c>
    </row>
    <row r="157">
      <c r="A157" t="inlineStr">
        <is>
          <t>3.1</t>
        </is>
      </c>
      <c r="D157" t="inlineStr">
        <is>
          <t>Disbursement #12 - 07/01/2025</t>
        </is>
      </c>
      <c r="E157" t="inlineStr">
        <is>
          <t>Shey Coordinated</t>
        </is>
      </c>
      <c r="F157" s="2" t="n">
        <v>2576</v>
      </c>
      <c r="G157" s="2" t="n">
        <v>2576</v>
      </c>
      <c r="H157" s="2">
        <f>F157-G157</f>
        <v/>
      </c>
      <c r="I157" t="inlineStr">
        <is>
          <t>2576</t>
        </is>
      </c>
    </row>
    <row r="158">
      <c r="A158" t="inlineStr">
        <is>
          <t>1.4</t>
        </is>
      </c>
      <c r="D158" t="inlineStr">
        <is>
          <t>Disbursement #12 - 07/01/2025</t>
        </is>
      </c>
      <c r="E158" t="inlineStr">
        <is>
          <t>PIPELINE CROSSING CONSTRUCTION PROJECT – PLAYA VENTANAS $14880+IVA</t>
        </is>
      </c>
      <c r="F158" s="2" t="n">
        <v>16814.4</v>
      </c>
      <c r="G158" s="2" t="n">
        <v>16814.4</v>
      </c>
      <c r="H158" s="2">
        <f>F158-G158</f>
        <v/>
      </c>
    </row>
    <row r="159">
      <c r="A159" t="inlineStr">
        <is>
          <t>0.7</t>
        </is>
      </c>
      <c r="D159" t="inlineStr">
        <is>
          <t>Disbursement #13 - 08/01/2025</t>
        </is>
      </c>
      <c r="E159" t="inlineStr">
        <is>
          <t>Development Director August  2025</t>
        </is>
      </c>
      <c r="F159" s="2" t="n">
        <v>14125</v>
      </c>
      <c r="G159" s="2" t="n">
        <v>14125</v>
      </c>
      <c r="H159" s="2">
        <f>F159-G159</f>
        <v/>
      </c>
      <c r="I159" t="inlineStr">
        <is>
          <t>14125</t>
        </is>
      </c>
    </row>
    <row r="160">
      <c r="A160" t="inlineStr">
        <is>
          <t>0.4</t>
        </is>
      </c>
      <c r="D160" t="inlineStr">
        <is>
          <t>Disbursement #13 - 08/01/2025</t>
        </is>
      </c>
      <c r="E160" t="inlineStr">
        <is>
          <t>Admin Fee Budget + Financial Controller 25% Salary AUGUST  2025</t>
        </is>
      </c>
      <c r="F160" s="2" t="n">
        <v>3750</v>
      </c>
      <c r="G160" s="2" t="n">
        <v>3750</v>
      </c>
      <c r="H160" s="2">
        <f>F160-G160</f>
        <v/>
      </c>
      <c r="I160" t="inlineStr">
        <is>
          <t>6150</t>
        </is>
      </c>
    </row>
    <row r="161">
      <c r="A161" t="inlineStr">
        <is>
          <t>0.6.1</t>
        </is>
      </c>
      <c r="D161" t="inlineStr">
        <is>
          <t>Disbursement #13 - 08/01/2025</t>
        </is>
      </c>
      <c r="E161" t="inlineStr">
        <is>
          <t>Farm Manager + Worker AUGUST  2025</t>
        </is>
      </c>
      <c r="F161" s="2" t="n">
        <v>1600</v>
      </c>
      <c r="G161" s="2" t="n">
        <v>1600</v>
      </c>
      <c r="H161" s="2">
        <f>F161-G161</f>
        <v/>
      </c>
      <c r="I161" t="inlineStr">
        <is>
          <t>6150</t>
        </is>
      </c>
    </row>
    <row r="162">
      <c r="A162" t="inlineStr">
        <is>
          <t>0.6.1</t>
        </is>
      </c>
      <c r="D162" t="inlineStr">
        <is>
          <t>Disbursement #13 - 08/01/2025</t>
        </is>
      </c>
      <c r="E162" t="inlineStr">
        <is>
          <t>CCSS (Social Security) AUGUST 2025</t>
        </is>
      </c>
      <c r="F162" s="2" t="n">
        <v>800</v>
      </c>
      <c r="G162" s="2" t="n">
        <v>800</v>
      </c>
      <c r="H162" s="2">
        <f>F162-G162</f>
        <v/>
      </c>
      <c r="I162" t="inlineStr">
        <is>
          <t>6150</t>
        </is>
      </c>
    </row>
    <row r="163">
      <c r="A163" t="inlineStr">
        <is>
          <t>6.3</t>
        </is>
      </c>
      <c r="D163" t="inlineStr">
        <is>
          <t>Disbursement #13 - 08/01/2025</t>
        </is>
      </c>
      <c r="E163" t="inlineStr">
        <is>
          <t>Entrance Pura Selva -5 VENTANAS  (Total $5694.00 Minus $5400 Previous wired)</t>
        </is>
      </c>
      <c r="F163" s="2" t="n">
        <v>294</v>
      </c>
      <c r="G163" s="2" t="n">
        <v>0</v>
      </c>
      <c r="H163" s="2">
        <f>F163-G163</f>
        <v/>
      </c>
    </row>
    <row r="164">
      <c r="A164" t="inlineStr">
        <is>
          <t>3.1</t>
        </is>
      </c>
      <c r="D164" t="inlineStr">
        <is>
          <t>Disbursement #13 - 08/01/2025</t>
        </is>
      </c>
      <c r="E164" t="inlineStr">
        <is>
          <t>Environmental Forestry Study-ALTA BATALLA (Permitting process)</t>
        </is>
      </c>
      <c r="F164" s="2" t="n">
        <v>4350.5</v>
      </c>
      <c r="G164" s="2" t="n">
        <v>4350.5</v>
      </c>
      <c r="H164" s="2">
        <f>F164-G164</f>
        <v/>
      </c>
      <c r="I164" t="inlineStr">
        <is>
          <t>4350.5</t>
        </is>
      </c>
    </row>
    <row r="165">
      <c r="A165" t="inlineStr">
        <is>
          <t>0.7</t>
        </is>
      </c>
      <c r="D165" t="inlineStr">
        <is>
          <t>Disbursement #14 - 09/01/2025</t>
        </is>
      </c>
      <c r="E165" t="inlineStr">
        <is>
          <t>Development Director SEPTEMBER  2025</t>
        </is>
      </c>
      <c r="F165" s="2" t="n">
        <v>14125</v>
      </c>
      <c r="G165" s="2" t="n">
        <v>14125</v>
      </c>
      <c r="H165" s="2">
        <f>F165-G165</f>
        <v/>
      </c>
      <c r="I165" t="inlineStr">
        <is>
          <t>14125</t>
        </is>
      </c>
    </row>
    <row r="166">
      <c r="A166" t="inlineStr">
        <is>
          <t>0.4</t>
        </is>
      </c>
      <c r="D166" t="inlineStr">
        <is>
          <t>Disbursement #14 - 09/01/2025</t>
        </is>
      </c>
      <c r="E166" t="inlineStr">
        <is>
          <t>Admin Fee Budget + Financial Controller 25% Salary SEPTEMBER  2025</t>
        </is>
      </c>
      <c r="F166" s="2" t="n">
        <v>3750</v>
      </c>
      <c r="G166" s="2" t="n">
        <v>3750</v>
      </c>
      <c r="H166" s="2">
        <f>F166-G166</f>
        <v/>
      </c>
      <c r="I166" t="inlineStr">
        <is>
          <t>6150</t>
        </is>
      </c>
    </row>
    <row r="167">
      <c r="A167" t="inlineStr">
        <is>
          <t>0.6.1</t>
        </is>
      </c>
      <c r="D167" t="inlineStr">
        <is>
          <t>Disbursement #14 - 09/01/2025</t>
        </is>
      </c>
      <c r="E167" t="inlineStr">
        <is>
          <t>Farm Manager + Worker SEPTEMBER  2025</t>
        </is>
      </c>
      <c r="F167" s="2" t="n">
        <v>1600</v>
      </c>
      <c r="G167" s="2" t="n">
        <v>1600</v>
      </c>
      <c r="H167" s="2">
        <f>F167-G167</f>
        <v/>
      </c>
      <c r="I167" t="inlineStr">
        <is>
          <t>6150</t>
        </is>
      </c>
    </row>
    <row r="168">
      <c r="A168" t="inlineStr">
        <is>
          <t>0.6.1</t>
        </is>
      </c>
      <c r="D168" t="inlineStr">
        <is>
          <t>Disbursement #14 - 09/01/2025</t>
        </is>
      </c>
      <c r="E168" t="inlineStr">
        <is>
          <t>CCSS (Social Security) SEPTEMBER 2025</t>
        </is>
      </c>
      <c r="F168" s="2" t="n">
        <v>800</v>
      </c>
      <c r="G168" s="2" t="n">
        <v>800</v>
      </c>
      <c r="H168" s="2">
        <f>F168-G168</f>
        <v/>
      </c>
      <c r="I168" t="inlineStr">
        <is>
          <t>6150</t>
        </is>
      </c>
    </row>
    <row r="169">
      <c r="A169" t="inlineStr">
        <is>
          <t>0.6.2</t>
        </is>
      </c>
      <c r="D169" t="inlineStr">
        <is>
          <t>Disbursement #14 - 09/01/2025</t>
        </is>
      </c>
      <c r="E169" t="inlineStr">
        <is>
          <t>Alex Payment- Care Taker Ventanas</t>
        </is>
      </c>
      <c r="F169" s="2" t="n">
        <v>1120</v>
      </c>
      <c r="G169" s="2" t="n">
        <v>1120</v>
      </c>
      <c r="H169" s="2">
        <f>F169-G169</f>
        <v/>
      </c>
    </row>
    <row r="170">
      <c r="A170" t="inlineStr">
        <is>
          <t>1.4</t>
        </is>
      </c>
      <c r="D170" t="inlineStr">
        <is>
          <t>Disbursement #14 - 09/01/2025</t>
        </is>
      </c>
      <c r="E170" t="inlineStr">
        <is>
          <t>Final payment + extra drilling under highway + water meters</t>
        </is>
      </c>
      <c r="F170" s="2" t="n">
        <v>32500</v>
      </c>
      <c r="G170" s="2" t="n">
        <v>32500</v>
      </c>
      <c r="H170" s="2">
        <f>F170-G170</f>
        <v/>
      </c>
    </row>
    <row r="171">
      <c r="A171" t="inlineStr">
        <is>
          <t>0.7</t>
        </is>
      </c>
      <c r="D171" t="inlineStr">
        <is>
          <t>Disbursement #15 - 10/01/2025</t>
        </is>
      </c>
      <c r="E171" t="inlineStr">
        <is>
          <t>Development Director OCTOBER  2025</t>
        </is>
      </c>
      <c r="F171" s="2" t="n">
        <v>14125</v>
      </c>
      <c r="G171" s="2" t="n">
        <v>14125</v>
      </c>
      <c r="H171" s="2">
        <f>F171-G171</f>
        <v/>
      </c>
      <c r="I171" t="inlineStr">
        <is>
          <t>14125</t>
        </is>
      </c>
    </row>
    <row r="172">
      <c r="A172" t="inlineStr">
        <is>
          <t>0.4</t>
        </is>
      </c>
      <c r="D172" t="inlineStr">
        <is>
          <t>Disbursement #15 - 10/01/2025</t>
        </is>
      </c>
      <c r="E172" t="inlineStr">
        <is>
          <t>Admin Fee Budget + Financial Controller 25% Salary OCTOBER  2025</t>
        </is>
      </c>
      <c r="F172" s="2" t="n">
        <v>3750</v>
      </c>
      <c r="G172" s="2" t="n">
        <v>3750</v>
      </c>
      <c r="H172" s="2">
        <f>F172-G172</f>
        <v/>
      </c>
      <c r="I172" t="inlineStr">
        <is>
          <t>6150</t>
        </is>
      </c>
    </row>
    <row r="173">
      <c r="A173" t="inlineStr">
        <is>
          <t>0.6.1</t>
        </is>
      </c>
      <c r="D173" t="inlineStr">
        <is>
          <t>Disbursement #15 - 10/01/2025</t>
        </is>
      </c>
      <c r="E173" t="inlineStr">
        <is>
          <t>Farm Manager + Worker OCTOBER  2025</t>
        </is>
      </c>
      <c r="F173" s="2" t="n">
        <v>1600</v>
      </c>
      <c r="G173" s="2" t="n">
        <v>1600</v>
      </c>
      <c r="H173" s="2">
        <f>F173-G173</f>
        <v/>
      </c>
      <c r="I173" t="inlineStr">
        <is>
          <t>6150</t>
        </is>
      </c>
    </row>
    <row r="174">
      <c r="A174" t="inlineStr">
        <is>
          <t>0.6.1</t>
        </is>
      </c>
      <c r="D174" t="inlineStr">
        <is>
          <t>Disbursement #15 - 10/01/2025</t>
        </is>
      </c>
      <c r="E174" t="inlineStr">
        <is>
          <t>CCSS (Social Security) OCTOBER 2025</t>
        </is>
      </c>
      <c r="F174" s="2" t="n">
        <v>800</v>
      </c>
      <c r="G174" s="2" t="n">
        <v>800</v>
      </c>
      <c r="H174" s="2">
        <f>F174-G174</f>
        <v/>
      </c>
      <c r="I174" t="inlineStr">
        <is>
          <t>6150</t>
        </is>
      </c>
    </row>
    <row r="175">
      <c r="A175" t="inlineStr">
        <is>
          <t>0.6.2</t>
        </is>
      </c>
      <c r="D175" t="inlineStr">
        <is>
          <t>Disbursement #15 - 10/01/2025</t>
        </is>
      </c>
      <c r="E175" t="inlineStr">
        <is>
          <t>Alex Payment- Care Taker Ventanas</t>
        </is>
      </c>
      <c r="F175" s="2" t="n">
        <v>1000</v>
      </c>
      <c r="G175" s="2" t="n">
        <v>0</v>
      </c>
      <c r="H175" s="2">
        <f>F175-G175</f>
        <v/>
      </c>
    </row>
    <row r="176">
      <c r="A176" t="inlineStr">
        <is>
          <t>3.1</t>
        </is>
      </c>
      <c r="D176" t="inlineStr">
        <is>
          <t>Disbursement #15 - 10/01/2025</t>
        </is>
      </c>
      <c r="E176" t="inlineStr">
        <is>
          <t>DEHC for road alignment $2385.00 plus IVA</t>
        </is>
      </c>
      <c r="F176" s="2" t="n">
        <v>2695.05</v>
      </c>
      <c r="G176" s="2" t="n">
        <v>2695.05</v>
      </c>
      <c r="H176" s="2">
        <f>F176-G176</f>
        <v/>
      </c>
      <c r="I176" t="inlineStr">
        <is>
          <t>3359.5</t>
        </is>
      </c>
    </row>
    <row r="177">
      <c r="A177" t="inlineStr">
        <is>
          <t>3.1</t>
        </is>
      </c>
      <c r="D177" t="inlineStr">
        <is>
          <t>Disbursement #15 - 10/01/2025</t>
        </is>
      </c>
      <c r="E177" t="inlineStr">
        <is>
          <t>CASTRO &amp; DE LA TORRE:  Soil Studies IVA</t>
        </is>
      </c>
      <c r="F177" s="2" t="n">
        <v>312.245991902834</v>
      </c>
      <c r="G177" s="2" t="n">
        <v>0</v>
      </c>
      <c r="H177" s="2">
        <f>F177-G177</f>
        <v/>
      </c>
    </row>
    <row r="178">
      <c r="A178" t="inlineStr">
        <is>
          <t>3.1</t>
        </is>
      </c>
      <c r="D178" t="inlineStr">
        <is>
          <t>Disbursement #15 - 10/01/2025</t>
        </is>
      </c>
      <c r="E178" t="inlineStr">
        <is>
          <t>FOREST INSPECTION  $1585.00 plus IVA</t>
        </is>
      </c>
      <c r="F178" s="2" t="n">
        <v>1791.05</v>
      </c>
      <c r="G178" s="2" t="n">
        <v>0</v>
      </c>
      <c r="H178" s="2">
        <f>F178-G178</f>
        <v/>
      </c>
    </row>
    <row r="179">
      <c r="A179" t="inlineStr">
        <is>
          <t>0.7</t>
        </is>
      </c>
      <c r="D179" t="inlineStr">
        <is>
          <t>Disbursement #16 - 11/01/2025</t>
        </is>
      </c>
      <c r="E179" t="inlineStr">
        <is>
          <t>Development Director NOVEMBER  2025</t>
        </is>
      </c>
      <c r="F179" s="2" t="n">
        <v>14125</v>
      </c>
      <c r="G179" s="2" t="n">
        <v>14125</v>
      </c>
      <c r="H179" s="2">
        <f>F179-G179</f>
        <v/>
      </c>
      <c r="I179" t="inlineStr">
        <is>
          <t>14125</t>
        </is>
      </c>
    </row>
    <row r="180">
      <c r="A180" t="inlineStr">
        <is>
          <t>0.4</t>
        </is>
      </c>
      <c r="D180" t="inlineStr">
        <is>
          <t>Disbursement #16 - 11/01/2025</t>
        </is>
      </c>
      <c r="E180" t="inlineStr">
        <is>
          <t>Admin Fee Budget + Financial Controller 25% Salary NOVEMBER  2025</t>
        </is>
      </c>
      <c r="F180" s="2" t="n">
        <v>3750</v>
      </c>
      <c r="G180" s="2" t="n">
        <v>3750</v>
      </c>
      <c r="H180" s="2">
        <f>F180-G180</f>
        <v/>
      </c>
      <c r="I180" t="inlineStr">
        <is>
          <t>3750</t>
        </is>
      </c>
    </row>
    <row r="181">
      <c r="A181" t="inlineStr">
        <is>
          <t>0.6.1</t>
        </is>
      </c>
      <c r="D181" t="inlineStr">
        <is>
          <t>Disbursement #16 - 11/01/2025</t>
        </is>
      </c>
      <c r="E181" t="inlineStr">
        <is>
          <t>Farm Manager + Worker NOVEMBER  2025</t>
        </is>
      </c>
      <c r="F181" s="2" t="n">
        <v>1600</v>
      </c>
      <c r="G181" s="2" t="n">
        <v>1600</v>
      </c>
      <c r="H181" s="2">
        <f>F181-G181</f>
        <v/>
      </c>
      <c r="I181" t="inlineStr">
        <is>
          <t>1600</t>
        </is>
      </c>
    </row>
    <row r="182">
      <c r="A182" t="inlineStr">
        <is>
          <t>0.6.1</t>
        </is>
      </c>
      <c r="D182" t="inlineStr">
        <is>
          <t>Disbursement #16 - 11/01/2025</t>
        </is>
      </c>
      <c r="E182" t="inlineStr">
        <is>
          <t>CCSS (Social Security) NOVEMBER 2025</t>
        </is>
      </c>
      <c r="F182" s="2" t="n">
        <v>800</v>
      </c>
      <c r="G182" s="2" t="n">
        <v>800</v>
      </c>
      <c r="H182" s="2">
        <f>F182-G182</f>
        <v/>
      </c>
      <c r="I182" t="inlineStr">
        <is>
          <t>800</t>
        </is>
      </c>
    </row>
    <row r="183">
      <c r="A183" t="inlineStr">
        <is>
          <t>0.6.2</t>
        </is>
      </c>
      <c r="D183" t="inlineStr">
        <is>
          <t>Disbursement #16 - 11/01/2025</t>
        </is>
      </c>
      <c r="E183" t="inlineStr">
        <is>
          <t>Alex Payment- Care Taker Ventanas</t>
        </is>
      </c>
      <c r="F183" s="2" t="n">
        <v>1824.705</v>
      </c>
      <c r="G183" s="2" t="n">
        <v>1824.705</v>
      </c>
      <c r="H183" s="2">
        <f>F183-G183</f>
        <v/>
      </c>
      <c r="I183" t="inlineStr">
        <is>
          <t>1824.705</t>
        </is>
      </c>
    </row>
    <row r="184">
      <c r="A184" t="inlineStr">
        <is>
          <t>3.1</t>
        </is>
      </c>
      <c r="D184" t="inlineStr">
        <is>
          <t>Disbursement #16 - 11/01/2025</t>
        </is>
      </c>
      <c r="E184" t="inlineStr">
        <is>
          <t>DEHC for road alignment Pending Previous Request $4255 +IVA</t>
        </is>
      </c>
      <c r="F184" s="2" t="n">
        <v>4808.15</v>
      </c>
      <c r="G184" s="2" t="n">
        <v>4808.15</v>
      </c>
      <c r="H184" s="2">
        <f>F184-G184</f>
        <v/>
      </c>
      <c r="I184" t="inlineStr">
        <is>
          <t>3943.7</t>
        </is>
      </c>
    </row>
    <row r="185">
      <c r="A185" t="inlineStr">
        <is>
          <t>3.1</t>
        </is>
      </c>
      <c r="D185" t="inlineStr">
        <is>
          <t>Disbursement #16 - 11/01/2025</t>
        </is>
      </c>
      <c r="E185" t="inlineStr">
        <is>
          <t>CASTRO &amp; DE LA TORRE:  Soil Studies + IVA</t>
        </is>
      </c>
      <c r="F185" s="2" t="n">
        <v>312.245991902834</v>
      </c>
      <c r="G185" s="2" t="n">
        <v>0</v>
      </c>
      <c r="H185" s="2">
        <f>F185-G185</f>
        <v/>
      </c>
    </row>
    <row r="186">
      <c r="A186" t="inlineStr">
        <is>
          <t>3.1</t>
        </is>
      </c>
      <c r="D186" t="inlineStr">
        <is>
          <t>Disbursement #16 - 11/01/2025</t>
        </is>
      </c>
      <c r="E186" t="inlineStr">
        <is>
          <t>SEED: Developer Milestone accomplishment for water certification for access and system acceptance: $25,000 + VAT</t>
        </is>
      </c>
      <c r="F186" s="2" t="n">
        <v>28250</v>
      </c>
      <c r="G186" s="2" t="n">
        <v>28250</v>
      </c>
      <c r="H186" s="2">
        <f>F186-G186</f>
        <v/>
      </c>
      <c r="I186" t="inlineStr">
        <is>
          <t>28249.999999999996</t>
        </is>
      </c>
    </row>
    <row r="187">
      <c r="A187" t="inlineStr">
        <is>
          <t>3.1</t>
        </is>
      </c>
      <c r="D187" t="inlineStr">
        <is>
          <t>Disbursement #16 - 11/01/2025</t>
        </is>
      </c>
      <c r="E187" t="inlineStr">
        <is>
          <t>Ojachal Garderns. Permit Engineer, Forestry Engineer, Land Surveyor DEHC Stay C Stay Aug 11, 2025</t>
        </is>
      </c>
      <c r="F187" s="2" t="n">
        <v>813.6</v>
      </c>
      <c r="G187" s="2" t="n">
        <v>813.6</v>
      </c>
      <c r="H187" s="2">
        <f>F187-G187</f>
        <v/>
      </c>
    </row>
    <row r="188">
      <c r="A188" t="inlineStr">
        <is>
          <t>3.1</t>
        </is>
      </c>
      <c r="D188" t="inlineStr">
        <is>
          <t>Disbursement #16 - 11/01/2025</t>
        </is>
      </c>
      <c r="E188" t="inlineStr">
        <is>
          <t>Ojachal Garderns. Permit Engineer, Forestry Engineer, Land Surveyor DEHC Stay  Stay Aug 26, 2025</t>
        </is>
      </c>
      <c r="F188" s="2" t="n">
        <v>310.64</v>
      </c>
      <c r="G188" s="2" t="n">
        <v>310.64</v>
      </c>
      <c r="H188" s="2">
        <f>F188-G188</f>
        <v/>
      </c>
    </row>
    <row r="189">
      <c r="A189" t="inlineStr">
        <is>
          <t>3.1</t>
        </is>
      </c>
      <c r="D189" t="inlineStr">
        <is>
          <t>Disbursement #16 - 11/01/2025</t>
        </is>
      </c>
      <c r="E189" t="inlineStr">
        <is>
          <t>Ojachal Garderns. Permit Engineer, Forestry Engineer, Land Surveyor DEHC Stay  Stay Oct 14-15, 2025</t>
        </is>
      </c>
      <c r="F189" s="2" t="n">
        <v>542.4</v>
      </c>
      <c r="G189" s="2" t="n">
        <v>542.4</v>
      </c>
      <c r="H189" s="2">
        <f>F189-G189</f>
        <v/>
      </c>
    </row>
    <row r="190">
      <c r="A190" t="inlineStr">
        <is>
          <t>3.1</t>
        </is>
      </c>
      <c r="D190" t="inlineStr">
        <is>
          <t>Disbursement #16 - 11/01/2025</t>
        </is>
      </c>
      <c r="E190" t="inlineStr">
        <is>
          <t>ALTA BATALLA: Annual Fee Ventanas Administration Trust</t>
        </is>
      </c>
      <c r="F190" s="2" t="n">
        <v>3616</v>
      </c>
      <c r="G190" s="2" t="n">
        <v>3616</v>
      </c>
      <c r="H190" s="2">
        <f>F190-G190</f>
        <v/>
      </c>
    </row>
    <row r="191">
      <c r="A191" t="inlineStr">
        <is>
          <t>0.6.4</t>
        </is>
      </c>
      <c r="D191" t="inlineStr">
        <is>
          <t>Disbursement #16 - 11/01/2025</t>
        </is>
      </c>
      <c r="E191" t="inlineStr">
        <is>
          <t>Ferreteria Palmares: Materiales</t>
        </is>
      </c>
      <c r="F191" s="2" t="n">
        <v>1003.9</v>
      </c>
      <c r="G191" s="2" t="n">
        <v>0</v>
      </c>
      <c r="H191" s="2">
        <f>F191-G191</f>
        <v/>
      </c>
    </row>
    <row r="192">
      <c r="A192" t="inlineStr">
        <is>
          <t>1.4</t>
        </is>
      </c>
      <c r="D192" t="inlineStr">
        <is>
          <t>Disbursement #16 - 11/01/2025</t>
        </is>
      </c>
      <c r="E192" t="inlineStr">
        <is>
          <t>Water Meters ASADA</t>
        </is>
      </c>
      <c r="F192" s="2" t="n">
        <v>555</v>
      </c>
      <c r="G192" s="2" t="n">
        <v>0</v>
      </c>
      <c r="H192" s="2">
        <f>F192-G192</f>
        <v/>
      </c>
    </row>
    <row r="193">
      <c r="A193" t="inlineStr">
        <is>
          <t>1.4</t>
        </is>
      </c>
      <c r="D193" t="inlineStr">
        <is>
          <t>Disbursement #16 - 11/01/2025</t>
        </is>
      </c>
      <c r="E193" t="inlineStr">
        <is>
          <t>Water Consumption for September and October 2025 Ventanas Meters</t>
        </is>
      </c>
      <c r="F193" s="2" t="n">
        <v>103.9</v>
      </c>
      <c r="G193" s="2" t="n">
        <v>132.92</v>
      </c>
      <c r="H193" s="2">
        <f>F193-G193</f>
        <v/>
      </c>
    </row>
    <row r="194">
      <c r="A194" t="inlineStr">
        <is>
          <t>0.7</t>
        </is>
      </c>
      <c r="D194" t="inlineStr">
        <is>
          <t>Disbursement #18 - 12/01/2025</t>
        </is>
      </c>
      <c r="E194" t="inlineStr">
        <is>
          <t>Development Team - DECEMBER  2025</t>
        </is>
      </c>
      <c r="F194" s="2" t="n">
        <v>14125</v>
      </c>
      <c r="G194" s="2" t="n">
        <v>14125</v>
      </c>
      <c r="H194" s="2">
        <f>F194-G194</f>
        <v/>
      </c>
    </row>
    <row r="195">
      <c r="A195" t="inlineStr">
        <is>
          <t>0.4</t>
        </is>
      </c>
      <c r="D195" t="inlineStr">
        <is>
          <t>Disbursement #18 - 12/01/2025</t>
        </is>
      </c>
      <c r="E195" t="inlineStr">
        <is>
          <t>Admin Fee Budget + Financial Controller 25% Salary - DECEMBER  2025</t>
        </is>
      </c>
      <c r="F195" s="2" t="n">
        <v>3750</v>
      </c>
      <c r="G195" s="2" t="n">
        <v>3750</v>
      </c>
      <c r="H195" s="2">
        <f>F195-G195</f>
        <v/>
      </c>
    </row>
    <row r="196">
      <c r="A196" t="inlineStr">
        <is>
          <t>0.4</t>
        </is>
      </c>
      <c r="D196" t="inlineStr">
        <is>
          <t>Disbursement #18 - 12/01/2025</t>
        </is>
      </c>
      <c r="E196" t="inlineStr">
        <is>
          <t>CCSS (Social Security) DECEMBER 2025</t>
        </is>
      </c>
      <c r="F196" s="2" t="n">
        <v>800</v>
      </c>
      <c r="G196" s="2" t="n">
        <v>800</v>
      </c>
      <c r="H196" s="2">
        <f>F196-G196</f>
        <v/>
      </c>
    </row>
    <row r="197">
      <c r="A197" t="inlineStr">
        <is>
          <t>0.6.2</t>
        </is>
      </c>
      <c r="D197" t="inlineStr">
        <is>
          <t>Disbursement #18 - 12/01/2025</t>
        </is>
      </c>
      <c r="E197" t="inlineStr">
        <is>
          <t>Alexi Payment- Care Taker Ventanas</t>
        </is>
      </c>
      <c r="F197" s="2" t="n">
        <v>1824.705</v>
      </c>
      <c r="G197" s="2" t="n">
        <v>1824.705</v>
      </c>
      <c r="H197" s="2">
        <f>F197-G197</f>
        <v/>
      </c>
    </row>
    <row r="198">
      <c r="A198" t="inlineStr">
        <is>
          <t>0.6.4</t>
        </is>
      </c>
      <c r="D198" t="inlineStr">
        <is>
          <t>Disbursement #18 - 12/01/2025</t>
        </is>
      </c>
      <c r="E198" t="inlineStr">
        <is>
          <t>CONSTRUPLAZA, SA. Property landscape Maintenace equipment</t>
        </is>
      </c>
      <c r="F198" s="2" t="n">
        <v>491.08</v>
      </c>
      <c r="G198" s="2" t="n">
        <v>0</v>
      </c>
      <c r="H198" s="2">
        <f>F198-G198</f>
        <v/>
      </c>
    </row>
    <row r="199">
      <c r="A199" t="inlineStr">
        <is>
          <t>3.1</t>
        </is>
      </c>
      <c r="D199" t="inlineStr">
        <is>
          <t>Disbursement #18 - 12/01/2025</t>
        </is>
      </c>
      <c r="E199" t="inlineStr">
        <is>
          <t>Forestry Engineer - Survey for forestry study - $2385+VAT</t>
        </is>
      </c>
      <c r="F199" s="2" t="n">
        <v>2695.05</v>
      </c>
      <c r="G199" s="2" t="n">
        <v>0</v>
      </c>
      <c r="H199" s="2">
        <f>F199-G199</f>
        <v/>
      </c>
    </row>
    <row r="200">
      <c r="A200" t="inlineStr">
        <is>
          <t>3.1</t>
        </is>
      </c>
      <c r="D200" t="inlineStr">
        <is>
          <t>Disbursement #18 - 12/01/2025</t>
        </is>
      </c>
      <c r="E200" t="inlineStr">
        <is>
          <t>Environmental Regent. Preliminary Environmental Study D1</t>
        </is>
      </c>
      <c r="F200" s="2" t="n">
        <v>5830.799999999999</v>
      </c>
      <c r="G200" s="2" t="n">
        <v>0</v>
      </c>
      <c r="H200" s="2">
        <f>F200-G200</f>
        <v/>
      </c>
    </row>
    <row r="201">
      <c r="A201" t="inlineStr">
        <is>
          <t>3.1</t>
        </is>
      </c>
      <c r="D201" t="inlineStr">
        <is>
          <t>Disbursement #18 - 12/01/2025</t>
        </is>
      </c>
      <c r="E201" t="inlineStr">
        <is>
          <t>DEHC Earth Movement Civil Engineering Services  73HA</t>
        </is>
      </c>
      <c r="F201" s="2" t="n">
        <v>12373.5</v>
      </c>
      <c r="G201" s="2" t="n">
        <v>12373.5</v>
      </c>
      <c r="H201" s="2">
        <f>F201-G201</f>
        <v/>
      </c>
    </row>
    <row r="202">
      <c r="A202" t="inlineStr">
        <is>
          <t>3.1</t>
        </is>
      </c>
      <c r="D202" t="inlineStr">
        <is>
          <t>Disbursement #18 - 12/01/2025</t>
        </is>
      </c>
      <c r="E202" t="inlineStr">
        <is>
          <t>DEHC Full engineering design of phase one for Civil and MEP to develop the condo infrastructure.</t>
        </is>
      </c>
      <c r="F202" s="2" t="n">
        <v>16385</v>
      </c>
      <c r="G202" s="2" t="n">
        <v>16385</v>
      </c>
      <c r="H202" s="2">
        <f>F202-G202</f>
        <v/>
      </c>
    </row>
    <row r="203">
      <c r="A203" t="inlineStr">
        <is>
          <t>3.1</t>
        </is>
      </c>
      <c r="D203" t="inlineStr">
        <is>
          <t>Disbursement #18 - 12/01/2025</t>
        </is>
      </c>
      <c r="E203" t="inlineStr">
        <is>
          <t>DEHC Civil Engineer and Permit Engineer -  the start of the condo permits.</t>
        </is>
      </c>
      <c r="F203" s="2" t="n">
        <v>5423.999999999999</v>
      </c>
      <c r="G203" s="2" t="n">
        <v>3336.33</v>
      </c>
      <c r="H203" s="2">
        <f>F203-G203</f>
        <v/>
      </c>
    </row>
    <row r="204">
      <c r="A204" t="inlineStr">
        <is>
          <t>3.1</t>
        </is>
      </c>
      <c r="D204" t="inlineStr">
        <is>
          <t>Disbursement #18 - 12/01/2025</t>
        </is>
      </c>
      <c r="E204" t="inlineStr">
        <is>
          <t>Permit - MOPT highway department</t>
        </is>
      </c>
      <c r="F204" s="2" t="n">
        <v>1356</v>
      </c>
      <c r="G204" s="2" t="n">
        <v>0</v>
      </c>
      <c r="H204" s="2">
        <f>F204-G204</f>
        <v/>
      </c>
    </row>
    <row r="205">
      <c r="A205" t="inlineStr">
        <is>
          <t>3.1</t>
        </is>
      </c>
      <c r="D205" t="inlineStr">
        <is>
          <t>Disbursement #18 - 12/01/2025</t>
        </is>
      </c>
      <c r="E205" t="inlineStr">
        <is>
          <t>Certifications for various DD items  ALTA BATALLA</t>
        </is>
      </c>
      <c r="F205" s="2" t="n">
        <v>40</v>
      </c>
      <c r="G205" s="2" t="n">
        <v>40</v>
      </c>
      <c r="H205" s="2">
        <f>F205-G205</f>
        <v/>
      </c>
    </row>
    <row r="206">
      <c r="A206" t="inlineStr">
        <is>
          <t>3.1</t>
        </is>
      </c>
      <c r="D206" t="inlineStr">
        <is>
          <t>Disbursement #18 - 12/01/2025</t>
        </is>
      </c>
      <c r="E206" t="inlineStr">
        <is>
          <t>Annual housekeeping of the ventanas corporations. Due in November yearly-ALTA BATALLA</t>
        </is>
      </c>
      <c r="F206" s="2" t="n">
        <v>19000.8</v>
      </c>
      <c r="G206" s="2" t="n">
        <v>19000.8</v>
      </c>
      <c r="H206" s="2">
        <f>F206-G206</f>
        <v/>
      </c>
    </row>
    <row r="207">
      <c r="A207" t="inlineStr">
        <is>
          <t>3.1</t>
        </is>
      </c>
      <c r="D207" t="inlineStr">
        <is>
          <t>Disbursement #18 - 12/01/2025</t>
        </is>
      </c>
      <c r="E207" t="inlineStr">
        <is>
          <t>Due diligence Piñuelas charge for Hovde Master ALTA BATALLA</t>
        </is>
      </c>
      <c r="F207" s="2" t="n">
        <v>9865</v>
      </c>
      <c r="G207" s="2" t="n">
        <v>9865</v>
      </c>
      <c r="H207" s="2">
        <f>F207-G207</f>
        <v/>
      </c>
    </row>
    <row r="208">
      <c r="A208" t="inlineStr">
        <is>
          <t>0.7</t>
        </is>
      </c>
      <c r="D208" t="inlineStr">
        <is>
          <t>Disbursement #19 - 01/01/2026</t>
        </is>
      </c>
      <c r="E208" t="inlineStr">
        <is>
          <t>Development Team - JANUARY  2026</t>
        </is>
      </c>
      <c r="F208" s="2" t="n">
        <v>14125</v>
      </c>
      <c r="G208" s="2" t="n">
        <v>14125</v>
      </c>
      <c r="H208" s="2">
        <f>F208-G208</f>
        <v/>
      </c>
    </row>
    <row r="209">
      <c r="A209" t="inlineStr">
        <is>
          <t>0.4</t>
        </is>
      </c>
      <c r="D209" t="inlineStr">
        <is>
          <t>Disbursement #19 - 01/01/2026</t>
        </is>
      </c>
      <c r="E209" t="inlineStr">
        <is>
          <t>Admin Fee Budget + Financial Controller 25% Salary - JANUARY 2026</t>
        </is>
      </c>
      <c r="F209" s="2" t="n">
        <v>3750</v>
      </c>
      <c r="G209" s="2" t="n">
        <v>3750</v>
      </c>
      <c r="H209" s="2">
        <f>F209-G209</f>
        <v/>
      </c>
    </row>
    <row r="210">
      <c r="A210" t="inlineStr">
        <is>
          <t>0.4</t>
        </is>
      </c>
      <c r="D210" t="inlineStr">
        <is>
          <t>Disbursement #19 - 01/01/2026</t>
        </is>
      </c>
      <c r="E210" t="inlineStr">
        <is>
          <t>CCSS (Social Security) JANUARY  2026</t>
        </is>
      </c>
      <c r="F210" s="2" t="n">
        <v>800</v>
      </c>
      <c r="G210" s="2" t="n">
        <v>800</v>
      </c>
      <c r="H210" s="2">
        <f>F210-G210</f>
        <v/>
      </c>
    </row>
    <row r="211">
      <c r="A211" t="inlineStr">
        <is>
          <t>0.6.2</t>
        </is>
      </c>
      <c r="D211" t="inlineStr">
        <is>
          <t>Disbursement #19 - 01/01/2026</t>
        </is>
      </c>
      <c r="E211" t="inlineStr">
        <is>
          <t>Alexi Payment- Care Taker Ventanas</t>
        </is>
      </c>
      <c r="F211" s="2" t="n">
        <v>1824.705</v>
      </c>
      <c r="G211" s="2" t="n">
        <v>1824.705</v>
      </c>
      <c r="H211" s="2">
        <f>F211-G211</f>
        <v/>
      </c>
    </row>
    <row r="212">
      <c r="A212" t="inlineStr">
        <is>
          <t>3.1</t>
        </is>
      </c>
      <c r="D212" t="inlineStr">
        <is>
          <t>Disbursement #19 - 01/01/2026</t>
        </is>
      </c>
      <c r="E212" t="inlineStr">
        <is>
          <t>Certifications for various DD items  ALTA BATALLA</t>
        </is>
      </c>
      <c r="F212" s="2" t="n">
        <v>715.25</v>
      </c>
      <c r="G212" s="2" t="n">
        <v>715.25</v>
      </c>
      <c r="H212" s="2">
        <f>F212-G212</f>
        <v/>
      </c>
    </row>
    <row r="213">
      <c r="A213" t="inlineStr">
        <is>
          <t>3.4</t>
        </is>
      </c>
      <c r="D213" t="inlineStr">
        <is>
          <t>Disbursement #19 - 01/01/2026</t>
        </is>
      </c>
      <c r="E213" t="inlineStr">
        <is>
          <t>Due diligence Piñuelas charge for Hovde Master ALTA BATALLA</t>
        </is>
      </c>
      <c r="F213" s="2" t="n">
        <v>74</v>
      </c>
      <c r="G213" s="2" t="n">
        <v>74</v>
      </c>
      <c r="H213" s="2">
        <f>F213-G213</f>
        <v/>
      </c>
    </row>
    <row r="214">
      <c r="A214" t="inlineStr">
        <is>
          <t>9.1.1</t>
        </is>
      </c>
      <c r="D214" t="inlineStr">
        <is>
          <t>Disbursement #19 - 01/01/2026</t>
        </is>
      </c>
      <c r="E214" t="inlineStr">
        <is>
          <t>Phase 1/2/3 Pre Consultations $6500 +IVA  DEHC</t>
        </is>
      </c>
      <c r="F214" s="2" t="n">
        <v>7344.999999999999</v>
      </c>
      <c r="G214" s="2" t="n">
        <v>7344.999999999999</v>
      </c>
      <c r="H214" s="2">
        <f>F214-G214</f>
        <v/>
      </c>
    </row>
    <row r="215">
      <c r="A215" t="inlineStr">
        <is>
          <t>9.1.2</t>
        </is>
      </c>
      <c r="D215" t="inlineStr">
        <is>
          <t>Disbursement #19 - 01/01/2026</t>
        </is>
      </c>
      <c r="E215" t="inlineStr">
        <is>
          <t>Phase 1/2/3 Discharge permit MOPT and Municipality $1800 + IVA DEHC</t>
        </is>
      </c>
      <c r="F215" s="2" t="n">
        <v>2034</v>
      </c>
      <c r="G215" s="2" t="n">
        <v>2034</v>
      </c>
      <c r="H215" s="2">
        <f>F215-G215</f>
        <v/>
      </c>
    </row>
    <row r="216">
      <c r="A216" t="inlineStr">
        <is>
          <t>9.1.3</t>
        </is>
      </c>
      <c r="D216" t="inlineStr">
        <is>
          <t>Disbursement #19 - 01/01/2026</t>
        </is>
      </c>
      <c r="E216" t="inlineStr">
        <is>
          <t>Phase 1 Permit (Includes topo of the existing road)  $14500 +IVA DEHC</t>
        </is>
      </c>
      <c r="F216" s="2" t="n">
        <v>16385</v>
      </c>
      <c r="G216" s="2" t="n">
        <v>16385</v>
      </c>
      <c r="H216" s="2">
        <f>F216-G216</f>
        <v/>
      </c>
    </row>
    <row r="217">
      <c r="A217" t="inlineStr">
        <is>
          <t>0.6.4</t>
        </is>
      </c>
      <c r="D217" t="inlineStr">
        <is>
          <t>Disbursement #19 - 01/01/2026</t>
        </is>
      </c>
      <c r="E217" t="inlineStr">
        <is>
          <t>Materiales Ferreteria Construmas</t>
        </is>
      </c>
      <c r="F217" s="2" t="n">
        <v>1016.4</v>
      </c>
      <c r="G217" s="2" t="n">
        <v>1041.39</v>
      </c>
      <c r="H217" s="2">
        <f>F217-G217</f>
        <v/>
      </c>
    </row>
    <row r="218">
      <c r="A218" t="inlineStr">
        <is>
          <t>0.7</t>
        </is>
      </c>
      <c r="D218" t="inlineStr">
        <is>
          <t>Disbursement #20 - 02/01/2026</t>
        </is>
      </c>
      <c r="E218" t="inlineStr">
        <is>
          <t>Development Team - FEBRUARY  2026</t>
        </is>
      </c>
      <c r="F218" s="2" t="n">
        <v>14125</v>
      </c>
      <c r="G218" s="2" t="n">
        <v>14125</v>
      </c>
      <c r="H218" s="2">
        <f>F218-G218</f>
        <v/>
      </c>
    </row>
    <row r="219">
      <c r="A219" t="inlineStr">
        <is>
          <t>0.4</t>
        </is>
      </c>
      <c r="D219" t="inlineStr">
        <is>
          <t>Disbursement #20 - 02/01/2026</t>
        </is>
      </c>
      <c r="E219" t="inlineStr">
        <is>
          <t>Admin Fee Budget + Financial Controller 25% Salary - FEBRUARY 2026</t>
        </is>
      </c>
      <c r="F219" s="2" t="n">
        <v>3750</v>
      </c>
      <c r="G219" s="2" t="n">
        <v>3750</v>
      </c>
      <c r="H219" s="2">
        <f>F219-G219</f>
        <v/>
      </c>
    </row>
    <row r="220">
      <c r="A220" t="inlineStr">
        <is>
          <t>0.4</t>
        </is>
      </c>
      <c r="D220" t="inlineStr">
        <is>
          <t>Disbursement #20 - 02/01/2026</t>
        </is>
      </c>
      <c r="E220" t="inlineStr">
        <is>
          <t>CCSS (Social Security) FEBRUARY  2026</t>
        </is>
      </c>
      <c r="F220" s="2" t="n">
        <v>800</v>
      </c>
      <c r="G220" s="2" t="n">
        <v>800</v>
      </c>
      <c r="H220" s="2">
        <f>F220-G220</f>
        <v/>
      </c>
    </row>
    <row r="221">
      <c r="A221" t="inlineStr">
        <is>
          <t>0.6.2</t>
        </is>
      </c>
      <c r="D221" t="inlineStr">
        <is>
          <t>Disbursement #20 - 02/01/2026</t>
        </is>
      </c>
      <c r="E221" t="inlineStr">
        <is>
          <t>Alexi Payment- Care Taker Ventanas</t>
        </is>
      </c>
      <c r="F221" s="2" t="n">
        <v>1824.705</v>
      </c>
      <c r="G221" s="2" t="n">
        <v>1824.705</v>
      </c>
      <c r="H221" s="2">
        <f>F221-G221</f>
        <v/>
      </c>
    </row>
    <row r="222">
      <c r="A222" t="inlineStr">
        <is>
          <t>0.911</t>
        </is>
      </c>
      <c r="D222" t="inlineStr">
        <is>
          <t>Disbursement #20 - 02/01/2026</t>
        </is>
      </c>
      <c r="E222" t="inlineStr">
        <is>
          <t>Fence Installation-Gustavo $880.01 IVI</t>
        </is>
      </c>
      <c r="F222" s="2" t="n">
        <v>880.01</v>
      </c>
      <c r="G222" s="2" t="n">
        <v>880.01</v>
      </c>
      <c r="H222" s="2">
        <f>F222-G222</f>
        <v/>
      </c>
    </row>
    <row r="223">
      <c r="A223" t="inlineStr">
        <is>
          <t>0.1.2</t>
        </is>
      </c>
      <c r="D223" t="inlineStr">
        <is>
          <t>Disbursement #20 - 02/01/2026</t>
        </is>
      </c>
      <c r="E223" t="inlineStr">
        <is>
          <t>Titled Property Annual Taxes</t>
        </is>
      </c>
      <c r="F223" s="2" t="n">
        <v>37500</v>
      </c>
      <c r="G223" s="2" t="n">
        <v>0</v>
      </c>
      <c r="H223" s="2">
        <f>F223-G223</f>
        <v/>
      </c>
    </row>
    <row r="224">
      <c r="A224" t="inlineStr">
        <is>
          <t>0.1.3</t>
        </is>
      </c>
      <c r="D224" t="inlineStr">
        <is>
          <t>Disbursement #20 - 02/01/2026</t>
        </is>
      </c>
      <c r="E224" t="inlineStr">
        <is>
          <t>Holding Corporation Taxes</t>
        </is>
      </c>
      <c r="F224" s="2" t="n">
        <v>6300</v>
      </c>
      <c r="G224" s="2" t="n">
        <v>6233.63</v>
      </c>
      <c r="H224" s="2">
        <f>F224-G224</f>
        <v/>
      </c>
    </row>
    <row r="225">
      <c r="A225" t="inlineStr">
        <is>
          <t>0.9</t>
        </is>
      </c>
      <c r="D225" t="inlineStr">
        <is>
          <t>Disbursement #20 - 02/01/2026</t>
        </is>
      </c>
      <c r="E225" t="inlineStr">
        <is>
          <t>Fallen Trees / Cutting Grass</t>
        </is>
      </c>
      <c r="F225" s="2" t="n">
        <v>2000</v>
      </c>
      <c r="G225" s="2" t="n">
        <v>0</v>
      </c>
      <c r="H225" s="2">
        <f>F225-G225</f>
        <v/>
      </c>
    </row>
    <row r="226">
      <c r="A226" t="inlineStr">
        <is>
          <t>0.7</t>
        </is>
      </c>
      <c r="D226" t="inlineStr">
        <is>
          <t>Disbursement #21 - 03/01/2026</t>
        </is>
      </c>
      <c r="E226" t="inlineStr">
        <is>
          <t>Development Team - MARCH  2026</t>
        </is>
      </c>
      <c r="F226" s="2" t="n">
        <v>14125</v>
      </c>
      <c r="G226" s="2" t="n">
        <v>14125</v>
      </c>
      <c r="H226" s="2">
        <f>F226-G226</f>
        <v/>
      </c>
    </row>
    <row r="227">
      <c r="A227" t="inlineStr">
        <is>
          <t>0.4</t>
        </is>
      </c>
      <c r="D227" t="inlineStr">
        <is>
          <t>Disbursement #21 - 03/01/2026</t>
        </is>
      </c>
      <c r="E227" t="inlineStr">
        <is>
          <t>Admin Fee Budget + Financial Controller 25% Salary - MARCH 2026</t>
        </is>
      </c>
      <c r="F227" s="2" t="n">
        <v>3750</v>
      </c>
      <c r="G227" s="2" t="n">
        <v>3750</v>
      </c>
      <c r="H227" s="2">
        <f>F227-G227</f>
        <v/>
      </c>
    </row>
    <row r="228">
      <c r="A228" t="inlineStr">
        <is>
          <t>0.4</t>
        </is>
      </c>
      <c r="D228" t="inlineStr">
        <is>
          <t>Disbursement #21 - 03/01/2026</t>
        </is>
      </c>
      <c r="E228" t="inlineStr">
        <is>
          <t>CCSS (Social Security) MARCH  2026</t>
        </is>
      </c>
      <c r="F228" s="2" t="n">
        <v>800</v>
      </c>
      <c r="G228" s="2" t="n">
        <v>800</v>
      </c>
      <c r="H228" s="2">
        <f>F228-G228</f>
        <v/>
      </c>
    </row>
    <row r="229">
      <c r="A229" t="inlineStr">
        <is>
          <t>0.6.2</t>
        </is>
      </c>
      <c r="D229" t="inlineStr">
        <is>
          <t>Disbursement #21 - 03/01/2026</t>
        </is>
      </c>
      <c r="E229" t="inlineStr">
        <is>
          <t>Alexi Payment- Care Taker Ventanas</t>
        </is>
      </c>
      <c r="F229" s="2" t="n">
        <v>1824.705</v>
      </c>
      <c r="G229" s="2" t="n">
        <v>1824.705</v>
      </c>
      <c r="H229" s="2">
        <f>F229-G229</f>
        <v/>
      </c>
    </row>
    <row r="230">
      <c r="A230" t="inlineStr">
        <is>
          <t>0.9</t>
        </is>
      </c>
      <c r="D230" t="inlineStr">
        <is>
          <t>Disbursement #21 - 03/01/2026</t>
        </is>
      </c>
      <c r="E230" t="inlineStr">
        <is>
          <t>Road Design Project – Accommodation Charges for 5 Engineers (4 Nights) – MOPT</t>
        </is>
      </c>
      <c r="F230" s="2" t="n">
        <v>2335.61</v>
      </c>
      <c r="G230" s="2" t="n">
        <v>0</v>
      </c>
      <c r="H230" s="2">
        <f>F230-G230</f>
        <v/>
      </c>
    </row>
    <row r="231">
      <c r="A231" t="inlineStr">
        <is>
          <t>3.2</t>
        </is>
      </c>
      <c r="D231" t="inlineStr">
        <is>
          <t>Disbursement #21 - 03/01/2026</t>
        </is>
      </c>
      <c r="E231" t="inlineStr">
        <is>
          <t>Certifications for various DD items ALTA BATALLA</t>
        </is>
      </c>
      <c r="F231" s="2" t="n">
        <v>443.02</v>
      </c>
      <c r="G231" s="2" t="n">
        <v>0</v>
      </c>
      <c r="H231" s="2">
        <f>F231-G231</f>
        <v/>
      </c>
    </row>
    <row r="232">
      <c r="A232" t="inlineStr">
        <is>
          <t>0.7</t>
        </is>
      </c>
      <c r="D232" t="inlineStr">
        <is>
          <t>Disbursement #22 - 04/01/2026</t>
        </is>
      </c>
      <c r="E232" t="inlineStr">
        <is>
          <t>Development Team - APRIL  2026</t>
        </is>
      </c>
      <c r="F232" s="2" t="n">
        <v>14125</v>
      </c>
      <c r="G232" s="2" t="n">
        <v>14125</v>
      </c>
      <c r="H232" s="2">
        <f>F232-G232</f>
        <v/>
      </c>
    </row>
    <row r="233">
      <c r="A233" t="inlineStr">
        <is>
          <t>0.4</t>
        </is>
      </c>
      <c r="D233" t="inlineStr">
        <is>
          <t>Disbursement #22 - 04/01/2026</t>
        </is>
      </c>
      <c r="E233" t="inlineStr">
        <is>
          <t>Admin Fee Budget + Financial Controller 25% Salary - APRIL 2026</t>
        </is>
      </c>
      <c r="F233" s="2" t="n">
        <v>3750</v>
      </c>
      <c r="G233" s="2" t="n">
        <v>3750</v>
      </c>
      <c r="H233" s="2">
        <f>F233-G233</f>
        <v/>
      </c>
    </row>
    <row r="234">
      <c r="A234" t="inlineStr">
        <is>
          <t>0.4</t>
        </is>
      </c>
      <c r="D234" t="inlineStr">
        <is>
          <t>Disbursement #22 - 04/01/2026</t>
        </is>
      </c>
      <c r="E234" t="inlineStr">
        <is>
          <t>CCSS (Social Security) APRIL  2026</t>
        </is>
      </c>
      <c r="F234" s="2" t="n">
        <v>800</v>
      </c>
      <c r="G234" s="2" t="n">
        <v>800</v>
      </c>
      <c r="H234" s="2">
        <f>F234-G234</f>
        <v/>
      </c>
    </row>
    <row r="235">
      <c r="A235" t="inlineStr">
        <is>
          <t>0.6.2</t>
        </is>
      </c>
      <c r="D235" t="inlineStr">
        <is>
          <t>Disbursement #22 - 04/01/2026</t>
        </is>
      </c>
      <c r="E235" t="inlineStr">
        <is>
          <t>Alexi Payment- Care Taker Ventanas</t>
        </is>
      </c>
      <c r="F235" s="2" t="n">
        <v>1824.705</v>
      </c>
      <c r="G235" s="2" t="n">
        <v>1824.705</v>
      </c>
      <c r="H235" s="2">
        <f>F235-G235</f>
        <v/>
      </c>
    </row>
    <row r="236">
      <c r="A236" t="inlineStr">
        <is>
          <t>3.4</t>
        </is>
      </c>
      <c r="D236" t="inlineStr">
        <is>
          <t>Disbursement #22 - 04/01/2026</t>
        </is>
      </c>
      <c r="E236" t="inlineStr">
        <is>
          <t>Second payment of two at the end of the Master plan analysis and condominium strategy $11500*50% DEHG +IVA</t>
        </is>
      </c>
      <c r="F236" s="2" t="n">
        <v>6497.499999999999</v>
      </c>
      <c r="G236" s="2" t="n">
        <v>0</v>
      </c>
      <c r="H236" s="2">
        <f>F236-G236</f>
        <v/>
      </c>
    </row>
    <row r="237">
      <c r="A237" t="inlineStr">
        <is>
          <t>3.5.1</t>
        </is>
      </c>
      <c r="D237" t="inlineStr">
        <is>
          <t>Disbursement #22 - 04/01/2026</t>
        </is>
      </c>
      <c r="E237" t="inlineStr">
        <is>
          <t>First payment of three when starting the schematic design: $103,600 *30% DEHG + IVA</t>
        </is>
      </c>
      <c r="F237" s="2" t="n">
        <v>35120.39999999999</v>
      </c>
      <c r="G237" s="2" t="n">
        <v>35120.39999999999</v>
      </c>
      <c r="H237" s="2">
        <f>F237-G237</f>
        <v/>
      </c>
    </row>
    <row r="238">
      <c r="A238" t="inlineStr">
        <is>
          <t>Unrecorded Center</t>
        </is>
      </c>
      <c r="F238" s="2" t="n">
        <v>0</v>
      </c>
      <c r="G238" s="2" t="n">
        <v>0</v>
      </c>
      <c r="H238" s="2">
        <f>F238-G238</f>
        <v/>
      </c>
    </row>
    <row r="239">
      <c r="A239" t="inlineStr">
        <is>
          <t>Estimates &amp; Quotes</t>
        </is>
      </c>
      <c r="F239" s="2" t="n">
        <v>0</v>
      </c>
      <c r="G239" s="2" t="n">
        <v>0</v>
      </c>
      <c r="H239" s="2">
        <f>F239-G239</f>
        <v/>
      </c>
    </row>
    <row r="240">
      <c r="A240" t="inlineStr">
        <is>
          <t>Service Done/Not Posted to Sage</t>
        </is>
      </c>
      <c r="F240" s="2" t="n">
        <v>0</v>
      </c>
      <c r="G240" s="2" t="n">
        <v>0</v>
      </c>
      <c r="H240" s="2">
        <f>F240-G240</f>
        <v/>
      </c>
    </row>
  </sheetData>
  <autoFilter ref="A3:I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 showOutlineSymbols="1"/>
    <pageSetUpPr/>
  </sheetPr>
  <dimension ref="A3:H8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4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3" ht="28" customHeight="1">
      <c r="A3" s="3" t="inlineStr">
        <is>
          <t>Project Category</t>
        </is>
      </c>
      <c r="B3" s="3" t="inlineStr">
        <is>
          <t>Phase</t>
        </is>
      </c>
      <c r="C3" s="3" t="inlineStr">
        <is>
          <t>WBS NUMBER</t>
        </is>
      </c>
      <c r="D3" s="3" t="inlineStr">
        <is>
          <t>Task Title</t>
        </is>
      </c>
      <c r="E3" s="3" t="inlineStr">
        <is>
          <t>Budget Revised</t>
        </is>
      </c>
      <c r="F3" s="3" t="inlineStr">
        <is>
          <t>YTD Expense</t>
        </is>
      </c>
      <c r="G3" s="3" t="inlineStr">
        <is>
          <t>Remaining</t>
        </is>
      </c>
      <c r="H3" s="3" t="inlineStr">
        <is>
          <t>Forecast</t>
        </is>
      </c>
    </row>
    <row r="4">
      <c r="A4">
        <f>IFERROR(INDEX('Job Cost Report'!$E:$E,MATCH($C4,'Job Cost Report'!$B:$B,0)),"")</f>
        <v/>
      </c>
      <c r="B4">
        <f>IFERROR(INDEX('Job Cost Report'!$F:$F,MATCH($C4,'Job Cost Report'!$B:$B,0)),"")</f>
        <v/>
      </c>
      <c r="C4" t="inlineStr">
        <is>
          <t>0.0001</t>
        </is>
      </c>
      <c r="D4">
        <f>IFERROR(INDEX('Job Cost Report'!$C:$C,MATCH($C4,'Job Cost Report'!$B:$B,0)),"")</f>
        <v/>
      </c>
      <c r="E4" s="2">
        <f>SUMIF('Job Cost Report'!$B:$B,$C4,'Job Cost Report'!$I:$I)</f>
        <v/>
      </c>
      <c r="F4" s="2">
        <f>SUMIF('Job Cost Report'!$B:$B,$C4,'Job Cost Report'!$J:$J)</f>
        <v/>
      </c>
      <c r="G4" s="2">
        <f>SUMIF('Job Cost Report'!$B:$B,$C4,'Job Cost Report'!$K:$K)</f>
        <v/>
      </c>
      <c r="H4" s="2">
        <f>SUMIF('Job Cost Report'!$B:$B,$C4,'Job Cost Report'!$L:$L)</f>
        <v/>
      </c>
    </row>
    <row r="5">
      <c r="A5">
        <f>IFERROR(INDEX('Job Cost Report'!$E:$E,MATCH($C5,'Job Cost Report'!$B:$B,0)),"")</f>
        <v/>
      </c>
      <c r="B5">
        <f>IFERROR(INDEX('Job Cost Report'!$F:$F,MATCH($C5,'Job Cost Report'!$B:$B,0)),"")</f>
        <v/>
      </c>
      <c r="C5" t="inlineStr">
        <is>
          <t>0.0002</t>
        </is>
      </c>
      <c r="D5">
        <f>IFERROR(INDEX('Job Cost Report'!$C:$C,MATCH($C5,'Job Cost Report'!$B:$B,0)),"")</f>
        <v/>
      </c>
      <c r="E5" s="2">
        <f>SUMIF('Job Cost Report'!$B:$B,$C5,'Job Cost Report'!$I:$I)</f>
        <v/>
      </c>
      <c r="F5" s="2">
        <f>SUMIF('Job Cost Report'!$B:$B,$C5,'Job Cost Report'!$J:$J)</f>
        <v/>
      </c>
      <c r="G5" s="2">
        <f>SUMIF('Job Cost Report'!$B:$B,$C5,'Job Cost Report'!$K:$K)</f>
        <v/>
      </c>
      <c r="H5" s="2">
        <f>SUMIF('Job Cost Report'!$B:$B,$C5,'Job Cost Report'!$L:$L)</f>
        <v/>
      </c>
    </row>
    <row r="6">
      <c r="A6">
        <f>IFERROR(INDEX('Job Cost Report'!$E:$E,MATCH($C6,'Job Cost Report'!$B:$B,0)),"")</f>
        <v/>
      </c>
      <c r="B6">
        <f>IFERROR(INDEX('Job Cost Report'!$F:$F,MATCH($C6,'Job Cost Report'!$B:$B,0)),"")</f>
        <v/>
      </c>
      <c r="C6" t="inlineStr">
        <is>
          <t>2.1.1</t>
        </is>
      </c>
      <c r="D6">
        <f>IFERROR(INDEX('Job Cost Report'!$C:$C,MATCH($C6,'Job Cost Report'!$B:$B,0)),"")</f>
        <v/>
      </c>
      <c r="E6" s="2">
        <f>SUMIF('Job Cost Report'!$B:$B,$C6,'Job Cost Report'!$I:$I)</f>
        <v/>
      </c>
      <c r="F6" s="2">
        <f>SUMIF('Job Cost Report'!$B:$B,$C6,'Job Cost Report'!$J:$J)</f>
        <v/>
      </c>
      <c r="G6" s="2">
        <f>SUMIF('Job Cost Report'!$B:$B,$C6,'Job Cost Report'!$K:$K)</f>
        <v/>
      </c>
      <c r="H6" s="2">
        <f>SUMIF('Job Cost Report'!$B:$B,$C6,'Job Cost Report'!$L:$L)</f>
        <v/>
      </c>
    </row>
    <row r="7">
      <c r="A7">
        <f>IFERROR(INDEX('Job Cost Report'!$E:$E,MATCH($C7,'Job Cost Report'!$B:$B,0)),"")</f>
        <v/>
      </c>
      <c r="B7">
        <f>IFERROR(INDEX('Job Cost Report'!$F:$F,MATCH($C7,'Job Cost Report'!$B:$B,0)),"")</f>
        <v/>
      </c>
      <c r="C7" t="inlineStr">
        <is>
          <t>2.1.2</t>
        </is>
      </c>
      <c r="D7">
        <f>IFERROR(INDEX('Job Cost Report'!$C:$C,MATCH($C7,'Job Cost Report'!$B:$B,0)),"")</f>
        <v/>
      </c>
      <c r="E7" s="2">
        <f>SUMIF('Job Cost Report'!$B:$B,$C7,'Job Cost Report'!$I:$I)</f>
        <v/>
      </c>
      <c r="F7" s="2">
        <f>SUMIF('Job Cost Report'!$B:$B,$C7,'Job Cost Report'!$J:$J)</f>
        <v/>
      </c>
      <c r="G7" s="2">
        <f>SUMIF('Job Cost Report'!$B:$B,$C7,'Job Cost Report'!$K:$K)</f>
        <v/>
      </c>
      <c r="H7" s="2">
        <f>SUMIF('Job Cost Report'!$B:$B,$C7,'Job Cost Report'!$L:$L)</f>
        <v/>
      </c>
    </row>
    <row r="8">
      <c r="A8">
        <f>IFERROR(INDEX('Job Cost Report'!$E:$E,MATCH($C8,'Job Cost Report'!$B:$B,0)),"")</f>
        <v/>
      </c>
      <c r="B8">
        <f>IFERROR(INDEX('Job Cost Report'!$F:$F,MATCH($C8,'Job Cost Report'!$B:$B,0)),"")</f>
        <v/>
      </c>
      <c r="C8" t="inlineStr">
        <is>
          <t>2.1.3</t>
        </is>
      </c>
      <c r="D8">
        <f>IFERROR(INDEX('Job Cost Report'!$C:$C,MATCH($C8,'Job Cost Report'!$B:$B,0)),"")</f>
        <v/>
      </c>
      <c r="E8" s="2">
        <f>SUMIF('Job Cost Report'!$B:$B,$C8,'Job Cost Report'!$I:$I)</f>
        <v/>
      </c>
      <c r="F8" s="2">
        <f>SUMIF('Job Cost Report'!$B:$B,$C8,'Job Cost Report'!$J:$J)</f>
        <v/>
      </c>
      <c r="G8" s="2">
        <f>SUMIF('Job Cost Report'!$B:$B,$C8,'Job Cost Report'!$K:$K)</f>
        <v/>
      </c>
      <c r="H8" s="2">
        <f>SUMIF('Job Cost Report'!$B:$B,$C8,'Job Cost Report'!$L:$L)</f>
        <v/>
      </c>
    </row>
    <row r="9">
      <c r="A9">
        <f>IFERROR(INDEX('Job Cost Report'!$E:$E,MATCH($C9,'Job Cost Report'!$B:$B,0)),"")</f>
        <v/>
      </c>
      <c r="B9">
        <f>IFERROR(INDEX('Job Cost Report'!$F:$F,MATCH($C9,'Job Cost Report'!$B:$B,0)),"")</f>
        <v/>
      </c>
      <c r="C9" t="inlineStr">
        <is>
          <t>2.1.4</t>
        </is>
      </c>
      <c r="D9">
        <f>IFERROR(INDEX('Job Cost Report'!$C:$C,MATCH($C9,'Job Cost Report'!$B:$B,0)),"")</f>
        <v/>
      </c>
      <c r="E9" s="2">
        <f>SUMIF('Job Cost Report'!$B:$B,$C9,'Job Cost Report'!$I:$I)</f>
        <v/>
      </c>
      <c r="F9" s="2">
        <f>SUMIF('Job Cost Report'!$B:$B,$C9,'Job Cost Report'!$J:$J)</f>
        <v/>
      </c>
      <c r="G9" s="2">
        <f>SUMIF('Job Cost Report'!$B:$B,$C9,'Job Cost Report'!$K:$K)</f>
        <v/>
      </c>
      <c r="H9" s="2">
        <f>SUMIF('Job Cost Report'!$B:$B,$C9,'Job Cost Report'!$L:$L)</f>
        <v/>
      </c>
    </row>
    <row r="10">
      <c r="A10">
        <f>IFERROR(INDEX('Job Cost Report'!$E:$E,MATCH($C10,'Job Cost Report'!$B:$B,0)),"")</f>
        <v/>
      </c>
      <c r="B10">
        <f>IFERROR(INDEX('Job Cost Report'!$F:$F,MATCH($C10,'Job Cost Report'!$B:$B,0)),"")</f>
        <v/>
      </c>
      <c r="C10" t="inlineStr">
        <is>
          <t>2.2</t>
        </is>
      </c>
      <c r="D10">
        <f>IFERROR(INDEX('Job Cost Report'!$C:$C,MATCH($C10,'Job Cost Report'!$B:$B,0)),"")</f>
        <v/>
      </c>
      <c r="E10" s="2">
        <f>SUMIF('Job Cost Report'!$B:$B,$C10,'Job Cost Report'!$I:$I)</f>
        <v/>
      </c>
      <c r="F10" s="2">
        <f>SUMIF('Job Cost Report'!$B:$B,$C10,'Job Cost Report'!$J:$J)</f>
        <v/>
      </c>
      <c r="G10" s="2">
        <f>SUMIF('Job Cost Report'!$B:$B,$C10,'Job Cost Report'!$K:$K)</f>
        <v/>
      </c>
      <c r="H10" s="2">
        <f>SUMIF('Job Cost Report'!$B:$B,$C10,'Job Cost Report'!$L:$L)</f>
        <v/>
      </c>
    </row>
    <row r="11">
      <c r="A11">
        <f>IFERROR(INDEX('Job Cost Report'!$E:$E,MATCH($C11,'Job Cost Report'!$B:$B,0)),"")</f>
        <v/>
      </c>
      <c r="B11">
        <f>IFERROR(INDEX('Job Cost Report'!$F:$F,MATCH($C11,'Job Cost Report'!$B:$B,0)),"")</f>
        <v/>
      </c>
      <c r="C11" t="inlineStr">
        <is>
          <t>9.1.1</t>
        </is>
      </c>
      <c r="D11">
        <f>IFERROR(INDEX('Job Cost Report'!$C:$C,MATCH($C11,'Job Cost Report'!$B:$B,0)),"")</f>
        <v/>
      </c>
      <c r="E11" s="2">
        <f>SUMIF('Job Cost Report'!$B:$B,$C11,'Job Cost Report'!$I:$I)</f>
        <v/>
      </c>
      <c r="F11" s="2">
        <f>SUMIF('Job Cost Report'!$B:$B,$C11,'Job Cost Report'!$J:$J)</f>
        <v/>
      </c>
      <c r="G11" s="2">
        <f>SUMIF('Job Cost Report'!$B:$B,$C11,'Job Cost Report'!$K:$K)</f>
        <v/>
      </c>
      <c r="H11" s="2">
        <f>SUMIF('Job Cost Report'!$B:$B,$C11,'Job Cost Report'!$L:$L)</f>
        <v/>
      </c>
    </row>
    <row r="12">
      <c r="A12">
        <f>IFERROR(INDEX('Job Cost Report'!$E:$E,MATCH($C12,'Job Cost Report'!$B:$B,0)),"")</f>
        <v/>
      </c>
      <c r="B12">
        <f>IFERROR(INDEX('Job Cost Report'!$F:$F,MATCH($C12,'Job Cost Report'!$B:$B,0)),"")</f>
        <v/>
      </c>
      <c r="C12" t="inlineStr">
        <is>
          <t>9.1.2</t>
        </is>
      </c>
      <c r="D12">
        <f>IFERROR(INDEX('Job Cost Report'!$C:$C,MATCH($C12,'Job Cost Report'!$B:$B,0)),"")</f>
        <v/>
      </c>
      <c r="E12" s="2">
        <f>SUMIF('Job Cost Report'!$B:$B,$C12,'Job Cost Report'!$I:$I)</f>
        <v/>
      </c>
      <c r="F12" s="2">
        <f>SUMIF('Job Cost Report'!$B:$B,$C12,'Job Cost Report'!$J:$J)</f>
        <v/>
      </c>
      <c r="G12" s="2">
        <f>SUMIF('Job Cost Report'!$B:$B,$C12,'Job Cost Report'!$K:$K)</f>
        <v/>
      </c>
      <c r="H12" s="2">
        <f>SUMIF('Job Cost Report'!$B:$B,$C12,'Job Cost Report'!$L:$L)</f>
        <v/>
      </c>
    </row>
    <row r="13">
      <c r="A13">
        <f>IFERROR(INDEX('Job Cost Report'!$E:$E,MATCH($C13,'Job Cost Report'!$B:$B,0)),"")</f>
        <v/>
      </c>
      <c r="B13">
        <f>IFERROR(INDEX('Job Cost Report'!$F:$F,MATCH($C13,'Job Cost Report'!$B:$B,0)),"")</f>
        <v/>
      </c>
      <c r="C13" t="inlineStr">
        <is>
          <t>9.1.3</t>
        </is>
      </c>
      <c r="D13">
        <f>IFERROR(INDEX('Job Cost Report'!$C:$C,MATCH($C13,'Job Cost Report'!$B:$B,0)),"")</f>
        <v/>
      </c>
      <c r="E13" s="2">
        <f>SUMIF('Job Cost Report'!$B:$B,$C13,'Job Cost Report'!$I:$I)</f>
        <v/>
      </c>
      <c r="F13" s="2">
        <f>SUMIF('Job Cost Report'!$B:$B,$C13,'Job Cost Report'!$J:$J)</f>
        <v/>
      </c>
      <c r="G13" s="2">
        <f>SUMIF('Job Cost Report'!$B:$B,$C13,'Job Cost Report'!$K:$K)</f>
        <v/>
      </c>
      <c r="H13" s="2">
        <f>SUMIF('Job Cost Report'!$B:$B,$C13,'Job Cost Report'!$L:$L)</f>
        <v/>
      </c>
    </row>
    <row r="14">
      <c r="A14">
        <f>IFERROR(INDEX('Job Cost Report'!$E:$E,MATCH($C14,'Job Cost Report'!$B:$B,0)),"")</f>
        <v/>
      </c>
      <c r="B14">
        <f>IFERROR(INDEX('Job Cost Report'!$F:$F,MATCH($C14,'Job Cost Report'!$B:$B,0)),"")</f>
        <v/>
      </c>
      <c r="C14" t="inlineStr">
        <is>
          <t>9.2.1</t>
        </is>
      </c>
      <c r="D14">
        <f>IFERROR(INDEX('Job Cost Report'!$C:$C,MATCH($C14,'Job Cost Report'!$B:$B,0)),"")</f>
        <v/>
      </c>
      <c r="E14" s="2">
        <f>SUMIF('Job Cost Report'!$B:$B,$C14,'Job Cost Report'!$I:$I)</f>
        <v/>
      </c>
      <c r="F14" s="2">
        <f>SUMIF('Job Cost Report'!$B:$B,$C14,'Job Cost Report'!$J:$J)</f>
        <v/>
      </c>
      <c r="G14" s="2">
        <f>SUMIF('Job Cost Report'!$B:$B,$C14,'Job Cost Report'!$K:$K)</f>
        <v/>
      </c>
      <c r="H14" s="2">
        <f>SUMIF('Job Cost Report'!$B:$B,$C14,'Job Cost Report'!$L:$L)</f>
        <v/>
      </c>
    </row>
    <row r="15">
      <c r="A15">
        <f>IFERROR(INDEX('Job Cost Report'!$E:$E,MATCH($C15,'Job Cost Report'!$B:$B,0)),"")</f>
        <v/>
      </c>
      <c r="B15">
        <f>IFERROR(INDEX('Job Cost Report'!$F:$F,MATCH($C15,'Job Cost Report'!$B:$B,0)),"")</f>
        <v/>
      </c>
      <c r="C15" t="inlineStr">
        <is>
          <t>9.3.1</t>
        </is>
      </c>
      <c r="D15">
        <f>IFERROR(INDEX('Job Cost Report'!$C:$C,MATCH($C15,'Job Cost Report'!$B:$B,0)),"")</f>
        <v/>
      </c>
      <c r="E15" s="2">
        <f>SUMIF('Job Cost Report'!$B:$B,$C15,'Job Cost Report'!$I:$I)</f>
        <v/>
      </c>
      <c r="F15" s="2">
        <f>SUMIF('Job Cost Report'!$B:$B,$C15,'Job Cost Report'!$J:$J)</f>
        <v/>
      </c>
      <c r="G15" s="2">
        <f>SUMIF('Job Cost Report'!$B:$B,$C15,'Job Cost Report'!$K:$K)</f>
        <v/>
      </c>
      <c r="H15" s="2">
        <f>SUMIF('Job Cost Report'!$B:$B,$C15,'Job Cost Report'!$L:$L)</f>
        <v/>
      </c>
    </row>
    <row r="16">
      <c r="A16">
        <f>IFERROR(INDEX('Job Cost Report'!$E:$E,MATCH($C16,'Job Cost Report'!$B:$B,0)),"")</f>
        <v/>
      </c>
      <c r="B16">
        <f>IFERROR(INDEX('Job Cost Report'!$F:$F,MATCH($C16,'Job Cost Report'!$B:$B,0)),"")</f>
        <v/>
      </c>
      <c r="C16" t="inlineStr">
        <is>
          <t>7.2</t>
        </is>
      </c>
      <c r="D16">
        <f>IFERROR(INDEX('Job Cost Report'!$C:$C,MATCH($C16,'Job Cost Report'!$B:$B,0)),"")</f>
        <v/>
      </c>
      <c r="E16" s="2">
        <f>SUMIF('Job Cost Report'!$B:$B,$C16,'Job Cost Report'!$I:$I)</f>
        <v/>
      </c>
      <c r="F16" s="2">
        <f>SUMIF('Job Cost Report'!$B:$B,$C16,'Job Cost Report'!$J:$J)</f>
        <v/>
      </c>
      <c r="G16" s="2">
        <f>SUMIF('Job Cost Report'!$B:$B,$C16,'Job Cost Report'!$K:$K)</f>
        <v/>
      </c>
      <c r="H16" s="2">
        <f>SUMIF('Job Cost Report'!$B:$B,$C16,'Job Cost Report'!$L:$L)</f>
        <v/>
      </c>
    </row>
    <row r="17">
      <c r="A17">
        <f>IFERROR(INDEX('Job Cost Report'!$E:$E,MATCH($C17,'Job Cost Report'!$B:$B,0)),"")</f>
        <v/>
      </c>
      <c r="B17">
        <f>IFERROR(INDEX('Job Cost Report'!$F:$F,MATCH($C17,'Job Cost Report'!$B:$B,0)),"")</f>
        <v/>
      </c>
      <c r="C17" t="inlineStr">
        <is>
          <t>7.3</t>
        </is>
      </c>
      <c r="D17">
        <f>IFERROR(INDEX('Job Cost Report'!$C:$C,MATCH($C17,'Job Cost Report'!$B:$B,0)),"")</f>
        <v/>
      </c>
      <c r="E17" s="2">
        <f>SUMIF('Job Cost Report'!$B:$B,$C17,'Job Cost Report'!$I:$I)</f>
        <v/>
      </c>
      <c r="F17" s="2">
        <f>SUMIF('Job Cost Report'!$B:$B,$C17,'Job Cost Report'!$J:$J)</f>
        <v/>
      </c>
      <c r="G17" s="2">
        <f>SUMIF('Job Cost Report'!$B:$B,$C17,'Job Cost Report'!$K:$K)</f>
        <v/>
      </c>
      <c r="H17" s="2">
        <f>SUMIF('Job Cost Report'!$B:$B,$C17,'Job Cost Report'!$L:$L)</f>
        <v/>
      </c>
    </row>
    <row r="18">
      <c r="A18">
        <f>IFERROR(INDEX('Job Cost Report'!$E:$E,MATCH($C18,'Job Cost Report'!$B:$B,0)),"")</f>
        <v/>
      </c>
      <c r="B18">
        <f>IFERROR(INDEX('Job Cost Report'!$F:$F,MATCH($C18,'Job Cost Report'!$B:$B,0)),"")</f>
        <v/>
      </c>
      <c r="C18" t="inlineStr">
        <is>
          <t>7.4</t>
        </is>
      </c>
      <c r="D18">
        <f>IFERROR(INDEX('Job Cost Report'!$C:$C,MATCH($C18,'Job Cost Report'!$B:$B,0)),"")</f>
        <v/>
      </c>
      <c r="E18" s="2">
        <f>SUMIF('Job Cost Report'!$B:$B,$C18,'Job Cost Report'!$I:$I)</f>
        <v/>
      </c>
      <c r="F18" s="2">
        <f>SUMIF('Job Cost Report'!$B:$B,$C18,'Job Cost Report'!$J:$J)</f>
        <v/>
      </c>
      <c r="G18" s="2">
        <f>SUMIF('Job Cost Report'!$B:$B,$C18,'Job Cost Report'!$K:$K)</f>
        <v/>
      </c>
      <c r="H18" s="2">
        <f>SUMIF('Job Cost Report'!$B:$B,$C18,'Job Cost Report'!$L:$L)</f>
        <v/>
      </c>
    </row>
    <row r="19">
      <c r="A19">
        <f>IFERROR(INDEX('Job Cost Report'!$E:$E,MATCH($C19,'Job Cost Report'!$B:$B,0)),"")</f>
        <v/>
      </c>
      <c r="B19">
        <f>IFERROR(INDEX('Job Cost Report'!$F:$F,MATCH($C19,'Job Cost Report'!$B:$B,0)),"")</f>
        <v/>
      </c>
      <c r="C19" t="inlineStr">
        <is>
          <t>7.5</t>
        </is>
      </c>
      <c r="D19">
        <f>IFERROR(INDEX('Job Cost Report'!$C:$C,MATCH($C19,'Job Cost Report'!$B:$B,0)),"")</f>
        <v/>
      </c>
      <c r="E19" s="2">
        <f>SUMIF('Job Cost Report'!$B:$B,$C19,'Job Cost Report'!$I:$I)</f>
        <v/>
      </c>
      <c r="F19" s="2">
        <f>SUMIF('Job Cost Report'!$B:$B,$C19,'Job Cost Report'!$J:$J)</f>
        <v/>
      </c>
      <c r="G19" s="2">
        <f>SUMIF('Job Cost Report'!$B:$B,$C19,'Job Cost Report'!$K:$K)</f>
        <v/>
      </c>
      <c r="H19" s="2">
        <f>SUMIF('Job Cost Report'!$B:$B,$C19,'Job Cost Report'!$L:$L)</f>
        <v/>
      </c>
    </row>
    <row r="20">
      <c r="A20">
        <f>IFERROR(INDEX('Job Cost Report'!$E:$E,MATCH($C20,'Job Cost Report'!$B:$B,0)),"")</f>
        <v/>
      </c>
      <c r="B20">
        <f>IFERROR(INDEX('Job Cost Report'!$F:$F,MATCH($C20,'Job Cost Report'!$B:$B,0)),"")</f>
        <v/>
      </c>
      <c r="C20" t="inlineStr">
        <is>
          <t>7.6</t>
        </is>
      </c>
      <c r="D20">
        <f>IFERROR(INDEX('Job Cost Report'!$C:$C,MATCH($C20,'Job Cost Report'!$B:$B,0)),"")</f>
        <v/>
      </c>
      <c r="E20" s="2">
        <f>SUMIF('Job Cost Report'!$B:$B,$C20,'Job Cost Report'!$I:$I)</f>
        <v/>
      </c>
      <c r="F20" s="2">
        <f>SUMIF('Job Cost Report'!$B:$B,$C20,'Job Cost Report'!$J:$J)</f>
        <v/>
      </c>
      <c r="G20" s="2">
        <f>SUMIF('Job Cost Report'!$B:$B,$C20,'Job Cost Report'!$K:$K)</f>
        <v/>
      </c>
      <c r="H20" s="2">
        <f>SUMIF('Job Cost Report'!$B:$B,$C20,'Job Cost Report'!$L:$L)</f>
        <v/>
      </c>
    </row>
    <row r="21">
      <c r="A21">
        <f>IFERROR(INDEX('Job Cost Report'!$E:$E,MATCH($C21,'Job Cost Report'!$B:$B,0)),"")</f>
        <v/>
      </c>
      <c r="B21">
        <f>IFERROR(INDEX('Job Cost Report'!$F:$F,MATCH($C21,'Job Cost Report'!$B:$B,0)),"")</f>
        <v/>
      </c>
      <c r="C21" t="inlineStr">
        <is>
          <t>7.7</t>
        </is>
      </c>
      <c r="D21">
        <f>IFERROR(INDEX('Job Cost Report'!$C:$C,MATCH($C21,'Job Cost Report'!$B:$B,0)),"")</f>
        <v/>
      </c>
      <c r="E21" s="2">
        <f>SUMIF('Job Cost Report'!$B:$B,$C21,'Job Cost Report'!$I:$I)</f>
        <v/>
      </c>
      <c r="F21" s="2">
        <f>SUMIF('Job Cost Report'!$B:$B,$C21,'Job Cost Report'!$J:$J)</f>
        <v/>
      </c>
      <c r="G21" s="2">
        <f>SUMIF('Job Cost Report'!$B:$B,$C21,'Job Cost Report'!$K:$K)</f>
        <v/>
      </c>
      <c r="H21" s="2">
        <f>SUMIF('Job Cost Report'!$B:$B,$C21,'Job Cost Report'!$L:$L)</f>
        <v/>
      </c>
    </row>
    <row r="22">
      <c r="A22">
        <f>IFERROR(INDEX('Job Cost Report'!$E:$E,MATCH($C22,'Job Cost Report'!$B:$B,0)),"")</f>
        <v/>
      </c>
      <c r="B22">
        <f>IFERROR(INDEX('Job Cost Report'!$F:$F,MATCH($C22,'Job Cost Report'!$B:$B,0)),"")</f>
        <v/>
      </c>
      <c r="C22" t="inlineStr">
        <is>
          <t>5.1</t>
        </is>
      </c>
      <c r="D22">
        <f>IFERROR(INDEX('Job Cost Report'!$C:$C,MATCH($C22,'Job Cost Report'!$B:$B,0)),"")</f>
        <v/>
      </c>
      <c r="E22" s="2">
        <f>SUMIF('Job Cost Report'!$B:$B,$C22,'Job Cost Report'!$I:$I)</f>
        <v/>
      </c>
      <c r="F22" s="2">
        <f>SUMIF('Job Cost Report'!$B:$B,$C22,'Job Cost Report'!$J:$J)</f>
        <v/>
      </c>
      <c r="G22" s="2">
        <f>SUMIF('Job Cost Report'!$B:$B,$C22,'Job Cost Report'!$K:$K)</f>
        <v/>
      </c>
      <c r="H22" s="2">
        <f>SUMIF('Job Cost Report'!$B:$B,$C22,'Job Cost Report'!$L:$L)</f>
        <v/>
      </c>
    </row>
    <row r="23">
      <c r="A23">
        <f>IFERROR(INDEX('Job Cost Report'!$E:$E,MATCH($C23,'Job Cost Report'!$B:$B,0)),"")</f>
        <v/>
      </c>
      <c r="B23">
        <f>IFERROR(INDEX('Job Cost Report'!$F:$F,MATCH($C23,'Job Cost Report'!$B:$B,0)),"")</f>
        <v/>
      </c>
      <c r="C23" t="inlineStr">
        <is>
          <t>5.2</t>
        </is>
      </c>
      <c r="D23">
        <f>IFERROR(INDEX('Job Cost Report'!$C:$C,MATCH($C23,'Job Cost Report'!$B:$B,0)),"")</f>
        <v/>
      </c>
      <c r="E23" s="2">
        <f>SUMIF('Job Cost Report'!$B:$B,$C23,'Job Cost Report'!$I:$I)</f>
        <v/>
      </c>
      <c r="F23" s="2">
        <f>SUMIF('Job Cost Report'!$B:$B,$C23,'Job Cost Report'!$J:$J)</f>
        <v/>
      </c>
      <c r="G23" s="2">
        <f>SUMIF('Job Cost Report'!$B:$B,$C23,'Job Cost Report'!$K:$K)</f>
        <v/>
      </c>
      <c r="H23" s="2">
        <f>SUMIF('Job Cost Report'!$B:$B,$C23,'Job Cost Report'!$L:$L)</f>
        <v/>
      </c>
    </row>
    <row r="24">
      <c r="A24">
        <f>IFERROR(INDEX('Job Cost Report'!$E:$E,MATCH($C24,'Job Cost Report'!$B:$B,0)),"")</f>
        <v/>
      </c>
      <c r="B24">
        <f>IFERROR(INDEX('Job Cost Report'!$F:$F,MATCH($C24,'Job Cost Report'!$B:$B,0)),"")</f>
        <v/>
      </c>
      <c r="C24" t="inlineStr">
        <is>
          <t>5.3</t>
        </is>
      </c>
      <c r="D24">
        <f>IFERROR(INDEX('Job Cost Report'!$C:$C,MATCH($C24,'Job Cost Report'!$B:$B,0)),"")</f>
        <v/>
      </c>
      <c r="E24" s="2">
        <f>SUMIF('Job Cost Report'!$B:$B,$C24,'Job Cost Report'!$I:$I)</f>
        <v/>
      </c>
      <c r="F24" s="2">
        <f>SUMIF('Job Cost Report'!$B:$B,$C24,'Job Cost Report'!$J:$J)</f>
        <v/>
      </c>
      <c r="G24" s="2">
        <f>SUMIF('Job Cost Report'!$B:$B,$C24,'Job Cost Report'!$K:$K)</f>
        <v/>
      </c>
      <c r="H24" s="2">
        <f>SUMIF('Job Cost Report'!$B:$B,$C24,'Job Cost Report'!$L:$L)</f>
        <v/>
      </c>
    </row>
    <row r="25">
      <c r="A25">
        <f>IFERROR(INDEX('Job Cost Report'!$E:$E,MATCH($C25,'Job Cost Report'!$B:$B,0)),"")</f>
        <v/>
      </c>
      <c r="B25">
        <f>IFERROR(INDEX('Job Cost Report'!$F:$F,MATCH($C25,'Job Cost Report'!$B:$B,0)),"")</f>
        <v/>
      </c>
      <c r="C25" t="inlineStr">
        <is>
          <t>5.4</t>
        </is>
      </c>
      <c r="D25">
        <f>IFERROR(INDEX('Job Cost Report'!$C:$C,MATCH($C25,'Job Cost Report'!$B:$B,0)),"")</f>
        <v/>
      </c>
      <c r="E25" s="2">
        <f>SUMIF('Job Cost Report'!$B:$B,$C25,'Job Cost Report'!$I:$I)</f>
        <v/>
      </c>
      <c r="F25" s="2">
        <f>SUMIF('Job Cost Report'!$B:$B,$C25,'Job Cost Report'!$J:$J)</f>
        <v/>
      </c>
      <c r="G25" s="2">
        <f>SUMIF('Job Cost Report'!$B:$B,$C25,'Job Cost Report'!$K:$K)</f>
        <v/>
      </c>
      <c r="H25" s="2">
        <f>SUMIF('Job Cost Report'!$B:$B,$C25,'Job Cost Report'!$L:$L)</f>
        <v/>
      </c>
    </row>
    <row r="26">
      <c r="A26">
        <f>IFERROR(INDEX('Job Cost Report'!$E:$E,MATCH($C26,'Job Cost Report'!$B:$B,0)),"")</f>
        <v/>
      </c>
      <c r="B26">
        <f>IFERROR(INDEX('Job Cost Report'!$F:$F,MATCH($C26,'Job Cost Report'!$B:$B,0)),"")</f>
        <v/>
      </c>
      <c r="C26" t="inlineStr">
        <is>
          <t>5.5</t>
        </is>
      </c>
      <c r="D26">
        <f>IFERROR(INDEX('Job Cost Report'!$C:$C,MATCH($C26,'Job Cost Report'!$B:$B,0)),"")</f>
        <v/>
      </c>
      <c r="E26" s="2">
        <f>SUMIF('Job Cost Report'!$B:$B,$C26,'Job Cost Report'!$I:$I)</f>
        <v/>
      </c>
      <c r="F26" s="2">
        <f>SUMIF('Job Cost Report'!$B:$B,$C26,'Job Cost Report'!$J:$J)</f>
        <v/>
      </c>
      <c r="G26" s="2">
        <f>SUMIF('Job Cost Report'!$B:$B,$C26,'Job Cost Report'!$K:$K)</f>
        <v/>
      </c>
      <c r="H26" s="2">
        <f>SUMIF('Job Cost Report'!$B:$B,$C26,'Job Cost Report'!$L:$L)</f>
        <v/>
      </c>
    </row>
    <row r="27">
      <c r="A27">
        <f>IFERROR(INDEX('Job Cost Report'!$E:$E,MATCH($C27,'Job Cost Report'!$B:$B,0)),"")</f>
        <v/>
      </c>
      <c r="B27">
        <f>IFERROR(INDEX('Job Cost Report'!$F:$F,MATCH($C27,'Job Cost Report'!$B:$B,0)),"")</f>
        <v/>
      </c>
      <c r="C27" t="inlineStr">
        <is>
          <t>5.6</t>
        </is>
      </c>
      <c r="D27">
        <f>IFERROR(INDEX('Job Cost Report'!$C:$C,MATCH($C27,'Job Cost Report'!$B:$B,0)),"")</f>
        <v/>
      </c>
      <c r="E27" s="2">
        <f>SUMIF('Job Cost Report'!$B:$B,$C27,'Job Cost Report'!$I:$I)</f>
        <v/>
      </c>
      <c r="F27" s="2">
        <f>SUMIF('Job Cost Report'!$B:$B,$C27,'Job Cost Report'!$J:$J)</f>
        <v/>
      </c>
      <c r="G27" s="2">
        <f>SUMIF('Job Cost Report'!$B:$B,$C27,'Job Cost Report'!$K:$K)</f>
        <v/>
      </c>
      <c r="H27" s="2">
        <f>SUMIF('Job Cost Report'!$B:$B,$C27,'Job Cost Report'!$L:$L)</f>
        <v/>
      </c>
    </row>
    <row r="28">
      <c r="A28">
        <f>IFERROR(INDEX('Job Cost Report'!$E:$E,MATCH($C28,'Job Cost Report'!$B:$B,0)),"")</f>
        <v/>
      </c>
      <c r="B28">
        <f>IFERROR(INDEX('Job Cost Report'!$F:$F,MATCH($C28,'Job Cost Report'!$B:$B,0)),"")</f>
        <v/>
      </c>
      <c r="C28" t="inlineStr">
        <is>
          <t>5.7</t>
        </is>
      </c>
      <c r="D28">
        <f>IFERROR(INDEX('Job Cost Report'!$C:$C,MATCH($C28,'Job Cost Report'!$B:$B,0)),"")</f>
        <v/>
      </c>
      <c r="E28" s="2">
        <f>SUMIF('Job Cost Report'!$B:$B,$C28,'Job Cost Report'!$I:$I)</f>
        <v/>
      </c>
      <c r="F28" s="2">
        <f>SUMIF('Job Cost Report'!$B:$B,$C28,'Job Cost Report'!$J:$J)</f>
        <v/>
      </c>
      <c r="G28" s="2">
        <f>SUMIF('Job Cost Report'!$B:$B,$C28,'Job Cost Report'!$K:$K)</f>
        <v/>
      </c>
      <c r="H28" s="2">
        <f>SUMIF('Job Cost Report'!$B:$B,$C28,'Job Cost Report'!$L:$L)</f>
        <v/>
      </c>
    </row>
    <row r="29">
      <c r="A29">
        <f>IFERROR(INDEX('Job Cost Report'!$E:$E,MATCH($C29,'Job Cost Report'!$B:$B,0)),"")</f>
        <v/>
      </c>
      <c r="B29">
        <f>IFERROR(INDEX('Job Cost Report'!$F:$F,MATCH($C29,'Job Cost Report'!$B:$B,0)),"")</f>
        <v/>
      </c>
      <c r="C29" t="inlineStr">
        <is>
          <t>5.8</t>
        </is>
      </c>
      <c r="D29">
        <f>IFERROR(INDEX('Job Cost Report'!$C:$C,MATCH($C29,'Job Cost Report'!$B:$B,0)),"")</f>
        <v/>
      </c>
      <c r="E29" s="2">
        <f>SUMIF('Job Cost Report'!$B:$B,$C29,'Job Cost Report'!$I:$I)</f>
        <v/>
      </c>
      <c r="F29" s="2">
        <f>SUMIF('Job Cost Report'!$B:$B,$C29,'Job Cost Report'!$J:$J)</f>
        <v/>
      </c>
      <c r="G29" s="2">
        <f>SUMIF('Job Cost Report'!$B:$B,$C29,'Job Cost Report'!$K:$K)</f>
        <v/>
      </c>
      <c r="H29" s="2">
        <f>SUMIF('Job Cost Report'!$B:$B,$C29,'Job Cost Report'!$L:$L)</f>
        <v/>
      </c>
    </row>
    <row r="30">
      <c r="A30">
        <f>IFERROR(INDEX('Job Cost Report'!$E:$E,MATCH($C30,'Job Cost Report'!$B:$B,0)),"")</f>
        <v/>
      </c>
      <c r="B30">
        <f>IFERROR(INDEX('Job Cost Report'!$F:$F,MATCH($C30,'Job Cost Report'!$B:$B,0)),"")</f>
        <v/>
      </c>
      <c r="C30" t="inlineStr">
        <is>
          <t>8.3</t>
        </is>
      </c>
      <c r="D30">
        <f>IFERROR(INDEX('Job Cost Report'!$C:$C,MATCH($C30,'Job Cost Report'!$B:$B,0)),"")</f>
        <v/>
      </c>
      <c r="E30" s="2">
        <f>SUMIF('Job Cost Report'!$B:$B,$C30,'Job Cost Report'!$I:$I)</f>
        <v/>
      </c>
      <c r="F30" s="2">
        <f>SUMIF('Job Cost Report'!$B:$B,$C30,'Job Cost Report'!$J:$J)</f>
        <v/>
      </c>
      <c r="G30" s="2">
        <f>SUMIF('Job Cost Report'!$B:$B,$C30,'Job Cost Report'!$K:$K)</f>
        <v/>
      </c>
      <c r="H30" s="2">
        <f>SUMIF('Job Cost Report'!$B:$B,$C30,'Job Cost Report'!$L:$L)</f>
        <v/>
      </c>
    </row>
    <row r="31">
      <c r="A31">
        <f>IFERROR(INDEX('Job Cost Report'!$E:$E,MATCH($C31,'Job Cost Report'!$B:$B,0)),"")</f>
        <v/>
      </c>
      <c r="B31">
        <f>IFERROR(INDEX('Job Cost Report'!$F:$F,MATCH($C31,'Job Cost Report'!$B:$B,0)),"")</f>
        <v/>
      </c>
      <c r="C31" t="inlineStr">
        <is>
          <t>0.1</t>
        </is>
      </c>
      <c r="D31">
        <f>IFERROR(INDEX('Job Cost Report'!$C:$C,MATCH($C31,'Job Cost Report'!$B:$B,0)),"")</f>
        <v/>
      </c>
      <c r="E31" s="2">
        <f>SUMIF('Job Cost Report'!$B:$B,$C31,'Job Cost Report'!$I:$I)</f>
        <v/>
      </c>
      <c r="F31" s="2">
        <f>SUMIF('Job Cost Report'!$B:$B,$C31,'Job Cost Report'!$J:$J)</f>
        <v/>
      </c>
      <c r="G31" s="2">
        <f>SUMIF('Job Cost Report'!$B:$B,$C31,'Job Cost Report'!$K:$K)</f>
        <v/>
      </c>
      <c r="H31" s="2">
        <f>SUMIF('Job Cost Report'!$B:$B,$C31,'Job Cost Report'!$L:$L)</f>
        <v/>
      </c>
    </row>
    <row r="32">
      <c r="A32">
        <f>IFERROR(INDEX('Job Cost Report'!$E:$E,MATCH($C32,'Job Cost Report'!$B:$B,0)),"")</f>
        <v/>
      </c>
      <c r="B32">
        <f>IFERROR(INDEX('Job Cost Report'!$F:$F,MATCH($C32,'Job Cost Report'!$B:$B,0)),"")</f>
        <v/>
      </c>
      <c r="C32" t="inlineStr">
        <is>
          <t>0.1.1</t>
        </is>
      </c>
      <c r="D32">
        <f>IFERROR(INDEX('Job Cost Report'!$C:$C,MATCH($C32,'Job Cost Report'!$B:$B,0)),"")</f>
        <v/>
      </c>
      <c r="E32" s="2">
        <f>SUMIF('Job Cost Report'!$B:$B,$C32,'Job Cost Report'!$I:$I)</f>
        <v/>
      </c>
      <c r="F32" s="2">
        <f>SUMIF('Job Cost Report'!$B:$B,$C32,'Job Cost Report'!$J:$J)</f>
        <v/>
      </c>
      <c r="G32" s="2">
        <f>SUMIF('Job Cost Report'!$B:$B,$C32,'Job Cost Report'!$K:$K)</f>
        <v/>
      </c>
      <c r="H32" s="2">
        <f>SUMIF('Job Cost Report'!$B:$B,$C32,'Job Cost Report'!$L:$L)</f>
        <v/>
      </c>
    </row>
    <row r="33">
      <c r="A33">
        <f>IFERROR(INDEX('Job Cost Report'!$E:$E,MATCH($C33,'Job Cost Report'!$B:$B,0)),"")</f>
        <v/>
      </c>
      <c r="B33">
        <f>IFERROR(INDEX('Job Cost Report'!$F:$F,MATCH($C33,'Job Cost Report'!$B:$B,0)),"")</f>
        <v/>
      </c>
      <c r="C33" t="inlineStr">
        <is>
          <t>0.1.2</t>
        </is>
      </c>
      <c r="D33">
        <f>IFERROR(INDEX('Job Cost Report'!$C:$C,MATCH($C33,'Job Cost Report'!$B:$B,0)),"")</f>
        <v/>
      </c>
      <c r="E33" s="2">
        <f>SUMIF('Job Cost Report'!$B:$B,$C33,'Job Cost Report'!$I:$I)</f>
        <v/>
      </c>
      <c r="F33" s="2">
        <f>SUMIF('Job Cost Report'!$B:$B,$C33,'Job Cost Report'!$J:$J)</f>
        <v/>
      </c>
      <c r="G33" s="2">
        <f>SUMIF('Job Cost Report'!$B:$B,$C33,'Job Cost Report'!$K:$K)</f>
        <v/>
      </c>
      <c r="H33" s="2">
        <f>SUMIF('Job Cost Report'!$B:$B,$C33,'Job Cost Report'!$L:$L)</f>
        <v/>
      </c>
    </row>
    <row r="34">
      <c r="A34">
        <f>IFERROR(INDEX('Job Cost Report'!$E:$E,MATCH($C34,'Job Cost Report'!$B:$B,0)),"")</f>
        <v/>
      </c>
      <c r="B34">
        <f>IFERROR(INDEX('Job Cost Report'!$F:$F,MATCH($C34,'Job Cost Report'!$B:$B,0)),"")</f>
        <v/>
      </c>
      <c r="C34" t="inlineStr">
        <is>
          <t>0.1.3</t>
        </is>
      </c>
      <c r="D34">
        <f>IFERROR(INDEX('Job Cost Report'!$C:$C,MATCH($C34,'Job Cost Report'!$B:$B,0)),"")</f>
        <v/>
      </c>
      <c r="E34" s="2">
        <f>SUMIF('Job Cost Report'!$B:$B,$C34,'Job Cost Report'!$I:$I)</f>
        <v/>
      </c>
      <c r="F34" s="2">
        <f>SUMIF('Job Cost Report'!$B:$B,$C34,'Job Cost Report'!$J:$J)</f>
        <v/>
      </c>
      <c r="G34" s="2">
        <f>SUMIF('Job Cost Report'!$B:$B,$C34,'Job Cost Report'!$K:$K)</f>
        <v/>
      </c>
      <c r="H34" s="2">
        <f>SUMIF('Job Cost Report'!$B:$B,$C34,'Job Cost Report'!$L:$L)</f>
        <v/>
      </c>
    </row>
    <row r="35">
      <c r="A35">
        <f>IFERROR(INDEX('Job Cost Report'!$E:$E,MATCH($C35,'Job Cost Report'!$B:$B,0)),"")</f>
        <v/>
      </c>
      <c r="B35">
        <f>IFERROR(INDEX('Job Cost Report'!$F:$F,MATCH($C35,'Job Cost Report'!$B:$B,0)),"")</f>
        <v/>
      </c>
      <c r="C35" t="inlineStr">
        <is>
          <t>0.2</t>
        </is>
      </c>
      <c r="D35">
        <f>IFERROR(INDEX('Job Cost Report'!$C:$C,MATCH($C35,'Job Cost Report'!$B:$B,0)),"")</f>
        <v/>
      </c>
      <c r="E35" s="2">
        <f>SUMIF('Job Cost Report'!$B:$B,$C35,'Job Cost Report'!$I:$I)</f>
        <v/>
      </c>
      <c r="F35" s="2">
        <f>SUMIF('Job Cost Report'!$B:$B,$C35,'Job Cost Report'!$J:$J)</f>
        <v/>
      </c>
      <c r="G35" s="2">
        <f>SUMIF('Job Cost Report'!$B:$B,$C35,'Job Cost Report'!$K:$K)</f>
        <v/>
      </c>
      <c r="H35" s="2">
        <f>SUMIF('Job Cost Report'!$B:$B,$C35,'Job Cost Report'!$L:$L)</f>
        <v/>
      </c>
    </row>
    <row r="36">
      <c r="A36">
        <f>IFERROR(INDEX('Job Cost Report'!$E:$E,MATCH($C36,'Job Cost Report'!$B:$B,0)),"")</f>
        <v/>
      </c>
      <c r="B36">
        <f>IFERROR(INDEX('Job Cost Report'!$F:$F,MATCH($C36,'Job Cost Report'!$B:$B,0)),"")</f>
        <v/>
      </c>
      <c r="C36" t="inlineStr">
        <is>
          <t>0.3</t>
        </is>
      </c>
      <c r="D36">
        <f>IFERROR(INDEX('Job Cost Report'!$C:$C,MATCH($C36,'Job Cost Report'!$B:$B,0)),"")</f>
        <v/>
      </c>
      <c r="E36" s="2">
        <f>SUMIF('Job Cost Report'!$B:$B,$C36,'Job Cost Report'!$I:$I)</f>
        <v/>
      </c>
      <c r="F36" s="2">
        <f>SUMIF('Job Cost Report'!$B:$B,$C36,'Job Cost Report'!$J:$J)</f>
        <v/>
      </c>
      <c r="G36" s="2">
        <f>SUMIF('Job Cost Report'!$B:$B,$C36,'Job Cost Report'!$K:$K)</f>
        <v/>
      </c>
      <c r="H36" s="2">
        <f>SUMIF('Job Cost Report'!$B:$B,$C36,'Job Cost Report'!$L:$L)</f>
        <v/>
      </c>
    </row>
    <row r="37">
      <c r="A37">
        <f>IFERROR(INDEX('Job Cost Report'!$E:$E,MATCH($C37,'Job Cost Report'!$B:$B,0)),"")</f>
        <v/>
      </c>
      <c r="B37">
        <f>IFERROR(INDEX('Job Cost Report'!$F:$F,MATCH($C37,'Job Cost Report'!$B:$B,0)),"")</f>
        <v/>
      </c>
      <c r="C37" t="inlineStr">
        <is>
          <t>0.3.1</t>
        </is>
      </c>
      <c r="D37">
        <f>IFERROR(INDEX('Job Cost Report'!$C:$C,MATCH($C37,'Job Cost Report'!$B:$B,0)),"")</f>
        <v/>
      </c>
      <c r="E37" s="2">
        <f>SUMIF('Job Cost Report'!$B:$B,$C37,'Job Cost Report'!$I:$I)</f>
        <v/>
      </c>
      <c r="F37" s="2">
        <f>SUMIF('Job Cost Report'!$B:$B,$C37,'Job Cost Report'!$J:$J)</f>
        <v/>
      </c>
      <c r="G37" s="2">
        <f>SUMIF('Job Cost Report'!$B:$B,$C37,'Job Cost Report'!$K:$K)</f>
        <v/>
      </c>
      <c r="H37" s="2">
        <f>SUMIF('Job Cost Report'!$B:$B,$C37,'Job Cost Report'!$L:$L)</f>
        <v/>
      </c>
    </row>
    <row r="38">
      <c r="A38">
        <f>IFERROR(INDEX('Job Cost Report'!$E:$E,MATCH($C38,'Job Cost Report'!$B:$B,0)),"")</f>
        <v/>
      </c>
      <c r="B38">
        <f>IFERROR(INDEX('Job Cost Report'!$F:$F,MATCH($C38,'Job Cost Report'!$B:$B,0)),"")</f>
        <v/>
      </c>
      <c r="C38" t="inlineStr">
        <is>
          <t>0.4</t>
        </is>
      </c>
      <c r="D38">
        <f>IFERROR(INDEX('Job Cost Report'!$C:$C,MATCH($C38,'Job Cost Report'!$B:$B,0)),"")</f>
        <v/>
      </c>
      <c r="E38" s="2">
        <f>SUMIF('Job Cost Report'!$B:$B,$C38,'Job Cost Report'!$I:$I)</f>
        <v/>
      </c>
      <c r="F38" s="2">
        <f>SUMIF('Job Cost Report'!$B:$B,$C38,'Job Cost Report'!$J:$J)</f>
        <v/>
      </c>
      <c r="G38" s="2">
        <f>SUMIF('Job Cost Report'!$B:$B,$C38,'Job Cost Report'!$K:$K)</f>
        <v/>
      </c>
      <c r="H38" s="2">
        <f>SUMIF('Job Cost Report'!$B:$B,$C38,'Job Cost Report'!$L:$L)</f>
        <v/>
      </c>
    </row>
    <row r="39">
      <c r="A39">
        <f>IFERROR(INDEX('Job Cost Report'!$E:$E,MATCH($C39,'Job Cost Report'!$B:$B,0)),"")</f>
        <v/>
      </c>
      <c r="B39">
        <f>IFERROR(INDEX('Job Cost Report'!$F:$F,MATCH($C39,'Job Cost Report'!$B:$B,0)),"")</f>
        <v/>
      </c>
      <c r="C39" t="inlineStr">
        <is>
          <t>0.5</t>
        </is>
      </c>
      <c r="D39">
        <f>IFERROR(INDEX('Job Cost Report'!$C:$C,MATCH($C39,'Job Cost Report'!$B:$B,0)),"")</f>
        <v/>
      </c>
      <c r="E39" s="2">
        <f>SUMIF('Job Cost Report'!$B:$B,$C39,'Job Cost Report'!$I:$I)</f>
        <v/>
      </c>
      <c r="F39" s="2">
        <f>SUMIF('Job Cost Report'!$B:$B,$C39,'Job Cost Report'!$J:$J)</f>
        <v/>
      </c>
      <c r="G39" s="2">
        <f>SUMIF('Job Cost Report'!$B:$B,$C39,'Job Cost Report'!$K:$K)</f>
        <v/>
      </c>
      <c r="H39" s="2">
        <f>SUMIF('Job Cost Report'!$B:$B,$C39,'Job Cost Report'!$L:$L)</f>
        <v/>
      </c>
    </row>
    <row r="40">
      <c r="A40">
        <f>IFERROR(INDEX('Job Cost Report'!$E:$E,MATCH($C40,'Job Cost Report'!$B:$B,0)),"")</f>
        <v/>
      </c>
      <c r="B40">
        <f>IFERROR(INDEX('Job Cost Report'!$F:$F,MATCH($C40,'Job Cost Report'!$B:$B,0)),"")</f>
        <v/>
      </c>
      <c r="C40" t="inlineStr">
        <is>
          <t>0.6.1</t>
        </is>
      </c>
      <c r="D40">
        <f>IFERROR(INDEX('Job Cost Report'!$C:$C,MATCH($C40,'Job Cost Report'!$B:$B,0)),"")</f>
        <v/>
      </c>
      <c r="E40" s="2">
        <f>SUMIF('Job Cost Report'!$B:$B,$C40,'Job Cost Report'!$I:$I)</f>
        <v/>
      </c>
      <c r="F40" s="2">
        <f>SUMIF('Job Cost Report'!$B:$B,$C40,'Job Cost Report'!$J:$J)</f>
        <v/>
      </c>
      <c r="G40" s="2">
        <f>SUMIF('Job Cost Report'!$B:$B,$C40,'Job Cost Report'!$K:$K)</f>
        <v/>
      </c>
      <c r="H40" s="2">
        <f>SUMIF('Job Cost Report'!$B:$B,$C40,'Job Cost Report'!$L:$L)</f>
        <v/>
      </c>
    </row>
    <row r="41">
      <c r="A41">
        <f>IFERROR(INDEX('Job Cost Report'!$E:$E,MATCH($C41,'Job Cost Report'!$B:$B,0)),"")</f>
        <v/>
      </c>
      <c r="B41">
        <f>IFERROR(INDEX('Job Cost Report'!$F:$F,MATCH($C41,'Job Cost Report'!$B:$B,0)),"")</f>
        <v/>
      </c>
      <c r="C41" t="inlineStr">
        <is>
          <t>0.6.2</t>
        </is>
      </c>
      <c r="D41">
        <f>IFERROR(INDEX('Job Cost Report'!$C:$C,MATCH($C41,'Job Cost Report'!$B:$B,0)),"")</f>
        <v/>
      </c>
      <c r="E41" s="2">
        <f>SUMIF('Job Cost Report'!$B:$B,$C41,'Job Cost Report'!$I:$I)</f>
        <v/>
      </c>
      <c r="F41" s="2">
        <f>SUMIF('Job Cost Report'!$B:$B,$C41,'Job Cost Report'!$J:$J)</f>
        <v/>
      </c>
      <c r="G41" s="2">
        <f>SUMIF('Job Cost Report'!$B:$B,$C41,'Job Cost Report'!$K:$K)</f>
        <v/>
      </c>
      <c r="H41" s="2">
        <f>SUMIF('Job Cost Report'!$B:$B,$C41,'Job Cost Report'!$L:$L)</f>
        <v/>
      </c>
    </row>
    <row r="42">
      <c r="A42">
        <f>IFERROR(INDEX('Job Cost Report'!$E:$E,MATCH($C42,'Job Cost Report'!$B:$B,0)),"")</f>
        <v/>
      </c>
      <c r="B42">
        <f>IFERROR(INDEX('Job Cost Report'!$F:$F,MATCH($C42,'Job Cost Report'!$B:$B,0)),"")</f>
        <v/>
      </c>
      <c r="C42" t="inlineStr">
        <is>
          <t>0.6.3</t>
        </is>
      </c>
      <c r="D42">
        <f>IFERROR(INDEX('Job Cost Report'!$C:$C,MATCH($C42,'Job Cost Report'!$B:$B,0)),"")</f>
        <v/>
      </c>
      <c r="E42" s="2">
        <f>SUMIF('Job Cost Report'!$B:$B,$C42,'Job Cost Report'!$I:$I)</f>
        <v/>
      </c>
      <c r="F42" s="2">
        <f>SUMIF('Job Cost Report'!$B:$B,$C42,'Job Cost Report'!$J:$J)</f>
        <v/>
      </c>
      <c r="G42" s="2">
        <f>SUMIF('Job Cost Report'!$B:$B,$C42,'Job Cost Report'!$K:$K)</f>
        <v/>
      </c>
      <c r="H42" s="2">
        <f>SUMIF('Job Cost Report'!$B:$B,$C42,'Job Cost Report'!$L:$L)</f>
        <v/>
      </c>
    </row>
    <row r="43">
      <c r="A43">
        <f>IFERROR(INDEX('Job Cost Report'!$E:$E,MATCH($C43,'Job Cost Report'!$B:$B,0)),"")</f>
        <v/>
      </c>
      <c r="B43">
        <f>IFERROR(INDEX('Job Cost Report'!$F:$F,MATCH($C43,'Job Cost Report'!$B:$B,0)),"")</f>
        <v/>
      </c>
      <c r="C43" t="inlineStr">
        <is>
          <t>0.6.4</t>
        </is>
      </c>
      <c r="D43">
        <f>IFERROR(INDEX('Job Cost Report'!$C:$C,MATCH($C43,'Job Cost Report'!$B:$B,0)),"")</f>
        <v/>
      </c>
      <c r="E43" s="2">
        <f>SUMIF('Job Cost Report'!$B:$B,$C43,'Job Cost Report'!$I:$I)</f>
        <v/>
      </c>
      <c r="F43" s="2">
        <f>SUMIF('Job Cost Report'!$B:$B,$C43,'Job Cost Report'!$J:$J)</f>
        <v/>
      </c>
      <c r="G43" s="2">
        <f>SUMIF('Job Cost Report'!$B:$B,$C43,'Job Cost Report'!$K:$K)</f>
        <v/>
      </c>
      <c r="H43" s="2">
        <f>SUMIF('Job Cost Report'!$B:$B,$C43,'Job Cost Report'!$L:$L)</f>
        <v/>
      </c>
    </row>
    <row r="44">
      <c r="A44">
        <f>IFERROR(INDEX('Job Cost Report'!$E:$E,MATCH($C44,'Job Cost Report'!$B:$B,0)),"")</f>
        <v/>
      </c>
      <c r="B44">
        <f>IFERROR(INDEX('Job Cost Report'!$F:$F,MATCH($C44,'Job Cost Report'!$B:$B,0)),"")</f>
        <v/>
      </c>
      <c r="C44" t="inlineStr">
        <is>
          <t>0.6.5</t>
        </is>
      </c>
      <c r="D44">
        <f>IFERROR(INDEX('Job Cost Report'!$C:$C,MATCH($C44,'Job Cost Report'!$B:$B,0)),"")</f>
        <v/>
      </c>
      <c r="E44" s="2">
        <f>SUMIF('Job Cost Report'!$B:$B,$C44,'Job Cost Report'!$I:$I)</f>
        <v/>
      </c>
      <c r="F44" s="2">
        <f>SUMIF('Job Cost Report'!$B:$B,$C44,'Job Cost Report'!$J:$J)</f>
        <v/>
      </c>
      <c r="G44" s="2">
        <f>SUMIF('Job Cost Report'!$B:$B,$C44,'Job Cost Report'!$K:$K)</f>
        <v/>
      </c>
      <c r="H44" s="2">
        <f>SUMIF('Job Cost Report'!$B:$B,$C44,'Job Cost Report'!$L:$L)</f>
        <v/>
      </c>
    </row>
    <row r="45">
      <c r="A45">
        <f>IFERROR(INDEX('Job Cost Report'!$E:$E,MATCH($C45,'Job Cost Report'!$B:$B,0)),"")</f>
        <v/>
      </c>
      <c r="B45">
        <f>IFERROR(INDEX('Job Cost Report'!$F:$F,MATCH($C45,'Job Cost Report'!$B:$B,0)),"")</f>
        <v/>
      </c>
      <c r="C45" t="inlineStr">
        <is>
          <t>0.7</t>
        </is>
      </c>
      <c r="D45">
        <f>IFERROR(INDEX('Job Cost Report'!$C:$C,MATCH($C45,'Job Cost Report'!$B:$B,0)),"")</f>
        <v/>
      </c>
      <c r="E45" s="2">
        <f>SUMIF('Job Cost Report'!$B:$B,$C45,'Job Cost Report'!$I:$I)</f>
        <v/>
      </c>
      <c r="F45" s="2">
        <f>SUMIF('Job Cost Report'!$B:$B,$C45,'Job Cost Report'!$J:$J)</f>
        <v/>
      </c>
      <c r="G45" s="2">
        <f>SUMIF('Job Cost Report'!$B:$B,$C45,'Job Cost Report'!$K:$K)</f>
        <v/>
      </c>
      <c r="H45" s="2">
        <f>SUMIF('Job Cost Report'!$B:$B,$C45,'Job Cost Report'!$L:$L)</f>
        <v/>
      </c>
    </row>
    <row r="46">
      <c r="A46">
        <f>IFERROR(INDEX('Job Cost Report'!$E:$E,MATCH($C46,'Job Cost Report'!$B:$B,0)),"")</f>
        <v/>
      </c>
      <c r="B46">
        <f>IFERROR(INDEX('Job Cost Report'!$F:$F,MATCH($C46,'Job Cost Report'!$B:$B,0)),"")</f>
        <v/>
      </c>
      <c r="C46" t="inlineStr">
        <is>
          <t>0.8</t>
        </is>
      </c>
      <c r="D46">
        <f>IFERROR(INDEX('Job Cost Report'!$C:$C,MATCH($C46,'Job Cost Report'!$B:$B,0)),"")</f>
        <v/>
      </c>
      <c r="E46" s="2">
        <f>SUMIF('Job Cost Report'!$B:$B,$C46,'Job Cost Report'!$I:$I)</f>
        <v/>
      </c>
      <c r="F46" s="2">
        <f>SUMIF('Job Cost Report'!$B:$B,$C46,'Job Cost Report'!$J:$J)</f>
        <v/>
      </c>
      <c r="G46" s="2">
        <f>SUMIF('Job Cost Report'!$B:$B,$C46,'Job Cost Report'!$K:$K)</f>
        <v/>
      </c>
      <c r="H46" s="2">
        <f>SUMIF('Job Cost Report'!$B:$B,$C46,'Job Cost Report'!$L:$L)</f>
        <v/>
      </c>
    </row>
    <row r="47">
      <c r="A47">
        <f>IFERROR(INDEX('Job Cost Report'!$E:$E,MATCH($C47,'Job Cost Report'!$B:$B,0)),"")</f>
        <v/>
      </c>
      <c r="B47">
        <f>IFERROR(INDEX('Job Cost Report'!$F:$F,MATCH($C47,'Job Cost Report'!$B:$B,0)),"")</f>
        <v/>
      </c>
      <c r="C47" t="inlineStr">
        <is>
          <t>0.9</t>
        </is>
      </c>
      <c r="D47">
        <f>IFERROR(INDEX('Job Cost Report'!$C:$C,MATCH($C47,'Job Cost Report'!$B:$B,0)),"")</f>
        <v/>
      </c>
      <c r="E47" s="2">
        <f>SUMIF('Job Cost Report'!$B:$B,$C47,'Job Cost Report'!$I:$I)</f>
        <v/>
      </c>
      <c r="F47" s="2">
        <f>SUMIF('Job Cost Report'!$B:$B,$C47,'Job Cost Report'!$J:$J)</f>
        <v/>
      </c>
      <c r="G47" s="2">
        <f>SUMIF('Job Cost Report'!$B:$B,$C47,'Job Cost Report'!$K:$K)</f>
        <v/>
      </c>
      <c r="H47" s="2">
        <f>SUMIF('Job Cost Report'!$B:$B,$C47,'Job Cost Report'!$L:$L)</f>
        <v/>
      </c>
    </row>
    <row r="48">
      <c r="A48">
        <f>IFERROR(INDEX('Job Cost Report'!$E:$E,MATCH($C48,'Job Cost Report'!$B:$B,0)),"")</f>
        <v/>
      </c>
      <c r="B48">
        <f>IFERROR(INDEX('Job Cost Report'!$F:$F,MATCH($C48,'Job Cost Report'!$B:$B,0)),"")</f>
        <v/>
      </c>
      <c r="C48" t="inlineStr">
        <is>
          <t>0.911</t>
        </is>
      </c>
      <c r="D48">
        <f>IFERROR(INDEX('Job Cost Report'!$C:$C,MATCH($C48,'Job Cost Report'!$B:$B,0)),"")</f>
        <v/>
      </c>
      <c r="E48" s="2">
        <f>SUMIF('Job Cost Report'!$B:$B,$C48,'Job Cost Report'!$I:$I)</f>
        <v/>
      </c>
      <c r="F48" s="2">
        <f>SUMIF('Job Cost Report'!$B:$B,$C48,'Job Cost Report'!$J:$J)</f>
        <v/>
      </c>
      <c r="G48" s="2">
        <f>SUMIF('Job Cost Report'!$B:$B,$C48,'Job Cost Report'!$K:$K)</f>
        <v/>
      </c>
      <c r="H48" s="2">
        <f>SUMIF('Job Cost Report'!$B:$B,$C48,'Job Cost Report'!$L:$L)</f>
        <v/>
      </c>
    </row>
    <row r="49">
      <c r="A49">
        <f>IFERROR(INDEX('Job Cost Report'!$E:$E,MATCH($C49,'Job Cost Report'!$B:$B,0)),"")</f>
        <v/>
      </c>
      <c r="B49">
        <f>IFERROR(INDEX('Job Cost Report'!$F:$F,MATCH($C49,'Job Cost Report'!$B:$B,0)),"")</f>
        <v/>
      </c>
      <c r="C49" t="inlineStr">
        <is>
          <t>1.1</t>
        </is>
      </c>
      <c r="D49">
        <f>IFERROR(INDEX('Job Cost Report'!$C:$C,MATCH($C49,'Job Cost Report'!$B:$B,0)),"")</f>
        <v/>
      </c>
      <c r="E49" s="2">
        <f>SUMIF('Job Cost Report'!$B:$B,$C49,'Job Cost Report'!$I:$I)</f>
        <v/>
      </c>
      <c r="F49" s="2">
        <f>SUMIF('Job Cost Report'!$B:$B,$C49,'Job Cost Report'!$J:$J)</f>
        <v/>
      </c>
      <c r="G49" s="2">
        <f>SUMIF('Job Cost Report'!$B:$B,$C49,'Job Cost Report'!$K:$K)</f>
        <v/>
      </c>
      <c r="H49" s="2">
        <f>SUMIF('Job Cost Report'!$B:$B,$C49,'Job Cost Report'!$L:$L)</f>
        <v/>
      </c>
    </row>
    <row r="50">
      <c r="A50">
        <f>IFERROR(INDEX('Job Cost Report'!$E:$E,MATCH($C50,'Job Cost Report'!$B:$B,0)),"")</f>
        <v/>
      </c>
      <c r="B50">
        <f>IFERROR(INDEX('Job Cost Report'!$F:$F,MATCH($C50,'Job Cost Report'!$B:$B,0)),"")</f>
        <v/>
      </c>
      <c r="C50" t="inlineStr">
        <is>
          <t>1.2</t>
        </is>
      </c>
      <c r="D50">
        <f>IFERROR(INDEX('Job Cost Report'!$C:$C,MATCH($C50,'Job Cost Report'!$B:$B,0)),"")</f>
        <v/>
      </c>
      <c r="E50" s="2">
        <f>SUMIF('Job Cost Report'!$B:$B,$C50,'Job Cost Report'!$I:$I)</f>
        <v/>
      </c>
      <c r="F50" s="2">
        <f>SUMIF('Job Cost Report'!$B:$B,$C50,'Job Cost Report'!$J:$J)</f>
        <v/>
      </c>
      <c r="G50" s="2">
        <f>SUMIF('Job Cost Report'!$B:$B,$C50,'Job Cost Report'!$K:$K)</f>
        <v/>
      </c>
      <c r="H50" s="2">
        <f>SUMIF('Job Cost Report'!$B:$B,$C50,'Job Cost Report'!$L:$L)</f>
        <v/>
      </c>
    </row>
    <row r="51">
      <c r="A51">
        <f>IFERROR(INDEX('Job Cost Report'!$E:$E,MATCH($C51,'Job Cost Report'!$B:$B,0)),"")</f>
        <v/>
      </c>
      <c r="B51">
        <f>IFERROR(INDEX('Job Cost Report'!$F:$F,MATCH($C51,'Job Cost Report'!$B:$B,0)),"")</f>
        <v/>
      </c>
      <c r="C51" t="inlineStr">
        <is>
          <t>1.3</t>
        </is>
      </c>
      <c r="D51">
        <f>IFERROR(INDEX('Job Cost Report'!$C:$C,MATCH($C51,'Job Cost Report'!$B:$B,0)),"")</f>
        <v/>
      </c>
      <c r="E51" s="2">
        <f>SUMIF('Job Cost Report'!$B:$B,$C51,'Job Cost Report'!$I:$I)</f>
        <v/>
      </c>
      <c r="F51" s="2">
        <f>SUMIF('Job Cost Report'!$B:$B,$C51,'Job Cost Report'!$J:$J)</f>
        <v/>
      </c>
      <c r="G51" s="2">
        <f>SUMIF('Job Cost Report'!$B:$B,$C51,'Job Cost Report'!$K:$K)</f>
        <v/>
      </c>
      <c r="H51" s="2">
        <f>SUMIF('Job Cost Report'!$B:$B,$C51,'Job Cost Report'!$L:$L)</f>
        <v/>
      </c>
    </row>
    <row r="52">
      <c r="A52">
        <f>IFERROR(INDEX('Job Cost Report'!$E:$E,MATCH($C52,'Job Cost Report'!$B:$B,0)),"")</f>
        <v/>
      </c>
      <c r="B52">
        <f>IFERROR(INDEX('Job Cost Report'!$F:$F,MATCH($C52,'Job Cost Report'!$B:$B,0)),"")</f>
        <v/>
      </c>
      <c r="C52" t="inlineStr">
        <is>
          <t>1.4</t>
        </is>
      </c>
      <c r="D52">
        <f>IFERROR(INDEX('Job Cost Report'!$C:$C,MATCH($C52,'Job Cost Report'!$B:$B,0)),"")</f>
        <v/>
      </c>
      <c r="E52" s="2">
        <f>SUMIF('Job Cost Report'!$B:$B,$C52,'Job Cost Report'!$I:$I)</f>
        <v/>
      </c>
      <c r="F52" s="2">
        <f>SUMIF('Job Cost Report'!$B:$B,$C52,'Job Cost Report'!$J:$J)</f>
        <v/>
      </c>
      <c r="G52" s="2">
        <f>SUMIF('Job Cost Report'!$B:$B,$C52,'Job Cost Report'!$K:$K)</f>
        <v/>
      </c>
      <c r="H52" s="2">
        <f>SUMIF('Job Cost Report'!$B:$B,$C52,'Job Cost Report'!$L:$L)</f>
        <v/>
      </c>
    </row>
    <row r="53">
      <c r="A53">
        <f>IFERROR(INDEX('Job Cost Report'!$E:$E,MATCH($C53,'Job Cost Report'!$B:$B,0)),"")</f>
        <v/>
      </c>
      <c r="B53">
        <f>IFERROR(INDEX('Job Cost Report'!$F:$F,MATCH($C53,'Job Cost Report'!$B:$B,0)),"")</f>
        <v/>
      </c>
      <c r="C53" t="inlineStr">
        <is>
          <t>6.1</t>
        </is>
      </c>
      <c r="D53">
        <f>IFERROR(INDEX('Job Cost Report'!$C:$C,MATCH($C53,'Job Cost Report'!$B:$B,0)),"")</f>
        <v/>
      </c>
      <c r="E53" s="2">
        <f>SUMIF('Job Cost Report'!$B:$B,$C53,'Job Cost Report'!$I:$I)</f>
        <v/>
      </c>
      <c r="F53" s="2">
        <f>SUMIF('Job Cost Report'!$B:$B,$C53,'Job Cost Report'!$J:$J)</f>
        <v/>
      </c>
      <c r="G53" s="2">
        <f>SUMIF('Job Cost Report'!$B:$B,$C53,'Job Cost Report'!$K:$K)</f>
        <v/>
      </c>
      <c r="H53" s="2">
        <f>SUMIF('Job Cost Report'!$B:$B,$C53,'Job Cost Report'!$L:$L)</f>
        <v/>
      </c>
    </row>
    <row r="54">
      <c r="A54">
        <f>IFERROR(INDEX('Job Cost Report'!$E:$E,MATCH($C54,'Job Cost Report'!$B:$B,0)),"")</f>
        <v/>
      </c>
      <c r="B54">
        <f>IFERROR(INDEX('Job Cost Report'!$F:$F,MATCH($C54,'Job Cost Report'!$B:$B,0)),"")</f>
        <v/>
      </c>
      <c r="C54" t="inlineStr">
        <is>
          <t>6.2</t>
        </is>
      </c>
      <c r="D54">
        <f>IFERROR(INDEX('Job Cost Report'!$C:$C,MATCH($C54,'Job Cost Report'!$B:$B,0)),"")</f>
        <v/>
      </c>
      <c r="E54" s="2">
        <f>SUMIF('Job Cost Report'!$B:$B,$C54,'Job Cost Report'!$I:$I)</f>
        <v/>
      </c>
      <c r="F54" s="2">
        <f>SUMIF('Job Cost Report'!$B:$B,$C54,'Job Cost Report'!$J:$J)</f>
        <v/>
      </c>
      <c r="G54" s="2">
        <f>SUMIF('Job Cost Report'!$B:$B,$C54,'Job Cost Report'!$K:$K)</f>
        <v/>
      </c>
      <c r="H54" s="2">
        <f>SUMIF('Job Cost Report'!$B:$B,$C54,'Job Cost Report'!$L:$L)</f>
        <v/>
      </c>
    </row>
    <row r="55">
      <c r="A55">
        <f>IFERROR(INDEX('Job Cost Report'!$E:$E,MATCH($C55,'Job Cost Report'!$B:$B,0)),"")</f>
        <v/>
      </c>
      <c r="B55">
        <f>IFERROR(INDEX('Job Cost Report'!$F:$F,MATCH($C55,'Job Cost Report'!$B:$B,0)),"")</f>
        <v/>
      </c>
      <c r="C55" t="inlineStr">
        <is>
          <t>6.3</t>
        </is>
      </c>
      <c r="D55">
        <f>IFERROR(INDEX('Job Cost Report'!$C:$C,MATCH($C55,'Job Cost Report'!$B:$B,0)),"")</f>
        <v/>
      </c>
      <c r="E55" s="2">
        <f>SUMIF('Job Cost Report'!$B:$B,$C55,'Job Cost Report'!$I:$I)</f>
        <v/>
      </c>
      <c r="F55" s="2">
        <f>SUMIF('Job Cost Report'!$B:$B,$C55,'Job Cost Report'!$J:$J)</f>
        <v/>
      </c>
      <c r="G55" s="2">
        <f>SUMIF('Job Cost Report'!$B:$B,$C55,'Job Cost Report'!$K:$K)</f>
        <v/>
      </c>
      <c r="H55" s="2">
        <f>SUMIF('Job Cost Report'!$B:$B,$C55,'Job Cost Report'!$L:$L)</f>
        <v/>
      </c>
    </row>
    <row r="56">
      <c r="A56">
        <f>IFERROR(INDEX('Job Cost Report'!$E:$E,MATCH($C56,'Job Cost Report'!$B:$B,0)),"")</f>
        <v/>
      </c>
      <c r="B56">
        <f>IFERROR(INDEX('Job Cost Report'!$F:$F,MATCH($C56,'Job Cost Report'!$B:$B,0)),"")</f>
        <v/>
      </c>
      <c r="C56" t="inlineStr">
        <is>
          <t>6.4</t>
        </is>
      </c>
      <c r="D56">
        <f>IFERROR(INDEX('Job Cost Report'!$C:$C,MATCH($C56,'Job Cost Report'!$B:$B,0)),"")</f>
        <v/>
      </c>
      <c r="E56" s="2">
        <f>SUMIF('Job Cost Report'!$B:$B,$C56,'Job Cost Report'!$I:$I)</f>
        <v/>
      </c>
      <c r="F56" s="2">
        <f>SUMIF('Job Cost Report'!$B:$B,$C56,'Job Cost Report'!$J:$J)</f>
        <v/>
      </c>
      <c r="G56" s="2">
        <f>SUMIF('Job Cost Report'!$B:$B,$C56,'Job Cost Report'!$K:$K)</f>
        <v/>
      </c>
      <c r="H56" s="2">
        <f>SUMIF('Job Cost Report'!$B:$B,$C56,'Job Cost Report'!$L:$L)</f>
        <v/>
      </c>
    </row>
    <row r="57">
      <c r="A57">
        <f>IFERROR(INDEX('Job Cost Report'!$E:$E,MATCH($C57,'Job Cost Report'!$B:$B,0)),"")</f>
        <v/>
      </c>
      <c r="B57">
        <f>IFERROR(INDEX('Job Cost Report'!$F:$F,MATCH($C57,'Job Cost Report'!$B:$B,0)),"")</f>
        <v/>
      </c>
      <c r="C57" t="inlineStr">
        <is>
          <t>6</t>
        </is>
      </c>
      <c r="D57">
        <f>IFERROR(INDEX('Job Cost Report'!$C:$C,MATCH($C57,'Job Cost Report'!$B:$B,0)),"")</f>
        <v/>
      </c>
      <c r="E57" s="2">
        <f>SUMIF('Job Cost Report'!$B:$B,$C57,'Job Cost Report'!$I:$I)</f>
        <v/>
      </c>
      <c r="F57" s="2">
        <f>SUMIF('Job Cost Report'!$B:$B,$C57,'Job Cost Report'!$J:$J)</f>
        <v/>
      </c>
      <c r="G57" s="2">
        <f>SUMIF('Job Cost Report'!$B:$B,$C57,'Job Cost Report'!$K:$K)</f>
        <v/>
      </c>
      <c r="H57" s="2">
        <f>SUMIF('Job Cost Report'!$B:$B,$C57,'Job Cost Report'!$L:$L)</f>
        <v/>
      </c>
    </row>
    <row r="58">
      <c r="A58">
        <f>IFERROR(INDEX('Job Cost Report'!$E:$E,MATCH($C58,'Job Cost Report'!$B:$B,0)),"")</f>
        <v/>
      </c>
      <c r="B58">
        <f>IFERROR(INDEX('Job Cost Report'!$F:$F,MATCH($C58,'Job Cost Report'!$B:$B,0)),"")</f>
        <v/>
      </c>
      <c r="C58" t="inlineStr">
        <is>
          <t>3.1</t>
        </is>
      </c>
      <c r="D58">
        <f>IFERROR(INDEX('Job Cost Report'!$C:$C,MATCH($C58,'Job Cost Report'!$B:$B,0)),"")</f>
        <v/>
      </c>
      <c r="E58" s="2">
        <f>SUMIF('Job Cost Report'!$B:$B,$C58,'Job Cost Report'!$I:$I)</f>
        <v/>
      </c>
      <c r="F58" s="2">
        <f>SUMIF('Job Cost Report'!$B:$B,$C58,'Job Cost Report'!$J:$J)</f>
        <v/>
      </c>
      <c r="G58" s="2">
        <f>SUMIF('Job Cost Report'!$B:$B,$C58,'Job Cost Report'!$K:$K)</f>
        <v/>
      </c>
      <c r="H58" s="2">
        <f>SUMIF('Job Cost Report'!$B:$B,$C58,'Job Cost Report'!$L:$L)</f>
        <v/>
      </c>
    </row>
    <row r="59">
      <c r="A59">
        <f>IFERROR(INDEX('Job Cost Report'!$E:$E,MATCH($C59,'Job Cost Report'!$B:$B,0)),"")</f>
        <v/>
      </c>
      <c r="B59">
        <f>IFERROR(INDEX('Job Cost Report'!$F:$F,MATCH($C59,'Job Cost Report'!$B:$B,0)),"")</f>
        <v/>
      </c>
      <c r="C59" t="inlineStr">
        <is>
          <t>3.2</t>
        </is>
      </c>
      <c r="D59">
        <f>IFERROR(INDEX('Job Cost Report'!$C:$C,MATCH($C59,'Job Cost Report'!$B:$B,0)),"")</f>
        <v/>
      </c>
      <c r="E59" s="2">
        <f>SUMIF('Job Cost Report'!$B:$B,$C59,'Job Cost Report'!$I:$I)</f>
        <v/>
      </c>
      <c r="F59" s="2">
        <f>SUMIF('Job Cost Report'!$B:$B,$C59,'Job Cost Report'!$J:$J)</f>
        <v/>
      </c>
      <c r="G59" s="2">
        <f>SUMIF('Job Cost Report'!$B:$B,$C59,'Job Cost Report'!$K:$K)</f>
        <v/>
      </c>
      <c r="H59" s="2">
        <f>SUMIF('Job Cost Report'!$B:$B,$C59,'Job Cost Report'!$L:$L)</f>
        <v/>
      </c>
    </row>
    <row r="60">
      <c r="A60">
        <f>IFERROR(INDEX('Job Cost Report'!$E:$E,MATCH($C60,'Job Cost Report'!$B:$B,0)),"")</f>
        <v/>
      </c>
      <c r="B60">
        <f>IFERROR(INDEX('Job Cost Report'!$F:$F,MATCH($C60,'Job Cost Report'!$B:$B,0)),"")</f>
        <v/>
      </c>
      <c r="C60" t="inlineStr">
        <is>
          <t>3.3</t>
        </is>
      </c>
      <c r="D60">
        <f>IFERROR(INDEX('Job Cost Report'!$C:$C,MATCH($C60,'Job Cost Report'!$B:$B,0)),"")</f>
        <v/>
      </c>
      <c r="E60" s="2">
        <f>SUMIF('Job Cost Report'!$B:$B,$C60,'Job Cost Report'!$I:$I)</f>
        <v/>
      </c>
      <c r="F60" s="2">
        <f>SUMIF('Job Cost Report'!$B:$B,$C60,'Job Cost Report'!$J:$J)</f>
        <v/>
      </c>
      <c r="G60" s="2">
        <f>SUMIF('Job Cost Report'!$B:$B,$C60,'Job Cost Report'!$K:$K)</f>
        <v/>
      </c>
      <c r="H60" s="2">
        <f>SUMIF('Job Cost Report'!$B:$B,$C60,'Job Cost Report'!$L:$L)</f>
        <v/>
      </c>
    </row>
    <row r="61">
      <c r="A61">
        <f>IFERROR(INDEX('Job Cost Report'!$E:$E,MATCH($C61,'Job Cost Report'!$B:$B,0)),"")</f>
        <v/>
      </c>
      <c r="B61">
        <f>IFERROR(INDEX('Job Cost Report'!$F:$F,MATCH($C61,'Job Cost Report'!$B:$B,0)),"")</f>
        <v/>
      </c>
      <c r="C61" t="inlineStr">
        <is>
          <t>3.4</t>
        </is>
      </c>
      <c r="D61">
        <f>IFERROR(INDEX('Job Cost Report'!$C:$C,MATCH($C61,'Job Cost Report'!$B:$B,0)),"")</f>
        <v/>
      </c>
      <c r="E61" s="2">
        <f>SUMIF('Job Cost Report'!$B:$B,$C61,'Job Cost Report'!$I:$I)</f>
        <v/>
      </c>
      <c r="F61" s="2">
        <f>SUMIF('Job Cost Report'!$B:$B,$C61,'Job Cost Report'!$J:$J)</f>
        <v/>
      </c>
      <c r="G61" s="2">
        <f>SUMIF('Job Cost Report'!$B:$B,$C61,'Job Cost Report'!$K:$K)</f>
        <v/>
      </c>
      <c r="H61" s="2">
        <f>SUMIF('Job Cost Report'!$B:$B,$C61,'Job Cost Report'!$L:$L)</f>
        <v/>
      </c>
    </row>
    <row r="62">
      <c r="A62">
        <f>IFERROR(INDEX('Job Cost Report'!$E:$E,MATCH($C62,'Job Cost Report'!$B:$B,0)),"")</f>
        <v/>
      </c>
      <c r="B62">
        <f>IFERROR(INDEX('Job Cost Report'!$F:$F,MATCH($C62,'Job Cost Report'!$B:$B,0)),"")</f>
        <v/>
      </c>
      <c r="C62" t="inlineStr">
        <is>
          <t>3.5</t>
        </is>
      </c>
      <c r="D62">
        <f>IFERROR(INDEX('Job Cost Report'!$C:$C,MATCH($C62,'Job Cost Report'!$B:$B,0)),"")</f>
        <v/>
      </c>
      <c r="E62" s="2">
        <f>SUMIF('Job Cost Report'!$B:$B,$C62,'Job Cost Report'!$I:$I)</f>
        <v/>
      </c>
      <c r="F62" s="2">
        <f>SUMIF('Job Cost Report'!$B:$B,$C62,'Job Cost Report'!$J:$J)</f>
        <v/>
      </c>
      <c r="G62" s="2">
        <f>SUMIF('Job Cost Report'!$B:$B,$C62,'Job Cost Report'!$K:$K)</f>
        <v/>
      </c>
      <c r="H62" s="2">
        <f>SUMIF('Job Cost Report'!$B:$B,$C62,'Job Cost Report'!$L:$L)</f>
        <v/>
      </c>
    </row>
    <row r="63">
      <c r="A63">
        <f>IFERROR(INDEX('Job Cost Report'!$E:$E,MATCH($C63,'Job Cost Report'!$B:$B,0)),"")</f>
        <v/>
      </c>
      <c r="B63">
        <f>IFERROR(INDEX('Job Cost Report'!$F:$F,MATCH($C63,'Job Cost Report'!$B:$B,0)),"")</f>
        <v/>
      </c>
      <c r="C63" t="inlineStr">
        <is>
          <t>3.5.1</t>
        </is>
      </c>
      <c r="D63">
        <f>IFERROR(INDEX('Job Cost Report'!$C:$C,MATCH($C63,'Job Cost Report'!$B:$B,0)),"")</f>
        <v/>
      </c>
      <c r="E63" s="2">
        <f>SUMIF('Job Cost Report'!$B:$B,$C63,'Job Cost Report'!$I:$I)</f>
        <v/>
      </c>
      <c r="F63" s="2">
        <f>SUMIF('Job Cost Report'!$B:$B,$C63,'Job Cost Report'!$J:$J)</f>
        <v/>
      </c>
      <c r="G63" s="2">
        <f>SUMIF('Job Cost Report'!$B:$B,$C63,'Job Cost Report'!$K:$K)</f>
        <v/>
      </c>
      <c r="H63" s="2">
        <f>SUMIF('Job Cost Report'!$B:$B,$C63,'Job Cost Report'!$L:$L)</f>
        <v/>
      </c>
    </row>
    <row r="64">
      <c r="A64">
        <f>IFERROR(INDEX('Job Cost Report'!$E:$E,MATCH($C64,'Job Cost Report'!$B:$B,0)),"")</f>
        <v/>
      </c>
      <c r="B64">
        <f>IFERROR(INDEX('Job Cost Report'!$F:$F,MATCH($C64,'Job Cost Report'!$B:$B,0)),"")</f>
        <v/>
      </c>
      <c r="C64" t="inlineStr">
        <is>
          <t>3.52</t>
        </is>
      </c>
      <c r="D64">
        <f>IFERROR(INDEX('Job Cost Report'!$C:$C,MATCH($C64,'Job Cost Report'!$B:$B,0)),"")</f>
        <v/>
      </c>
      <c r="E64" s="2">
        <f>SUMIF('Job Cost Report'!$B:$B,$C64,'Job Cost Report'!$I:$I)</f>
        <v/>
      </c>
      <c r="F64" s="2">
        <f>SUMIF('Job Cost Report'!$B:$B,$C64,'Job Cost Report'!$J:$J)</f>
        <v/>
      </c>
      <c r="G64" s="2">
        <f>SUMIF('Job Cost Report'!$B:$B,$C64,'Job Cost Report'!$K:$K)</f>
        <v/>
      </c>
      <c r="H64" s="2">
        <f>SUMIF('Job Cost Report'!$B:$B,$C64,'Job Cost Report'!$L:$L)</f>
        <v/>
      </c>
    </row>
    <row r="65">
      <c r="A65">
        <f>IFERROR(INDEX('Job Cost Report'!$E:$E,MATCH($C65,'Job Cost Report'!$B:$B,0)),"")</f>
        <v/>
      </c>
      <c r="B65">
        <f>IFERROR(INDEX('Job Cost Report'!$F:$F,MATCH($C65,'Job Cost Report'!$B:$B,0)),"")</f>
        <v/>
      </c>
      <c r="C65" t="inlineStr">
        <is>
          <t>3.6</t>
        </is>
      </c>
      <c r="D65">
        <f>IFERROR(INDEX('Job Cost Report'!$C:$C,MATCH($C65,'Job Cost Report'!$B:$B,0)),"")</f>
        <v/>
      </c>
      <c r="E65" s="2">
        <f>SUMIF('Job Cost Report'!$B:$B,$C65,'Job Cost Report'!$I:$I)</f>
        <v/>
      </c>
      <c r="F65" s="2">
        <f>SUMIF('Job Cost Report'!$B:$B,$C65,'Job Cost Report'!$J:$J)</f>
        <v/>
      </c>
      <c r="G65" s="2">
        <f>SUMIF('Job Cost Report'!$B:$B,$C65,'Job Cost Report'!$K:$K)</f>
        <v/>
      </c>
      <c r="H65" s="2">
        <f>SUMIF('Job Cost Report'!$B:$B,$C65,'Job Cost Report'!$L:$L)</f>
        <v/>
      </c>
    </row>
    <row r="66">
      <c r="A66">
        <f>IFERROR(INDEX('Job Cost Report'!$E:$E,MATCH($C66,'Job Cost Report'!$B:$B,0)),"")</f>
        <v/>
      </c>
      <c r="B66">
        <f>IFERROR(INDEX('Job Cost Report'!$F:$F,MATCH($C66,'Job Cost Report'!$B:$B,0)),"")</f>
        <v/>
      </c>
      <c r="C66" t="inlineStr">
        <is>
          <t>3.7</t>
        </is>
      </c>
      <c r="D66">
        <f>IFERROR(INDEX('Job Cost Report'!$C:$C,MATCH($C66,'Job Cost Report'!$B:$B,0)),"")</f>
        <v/>
      </c>
      <c r="E66" s="2">
        <f>SUMIF('Job Cost Report'!$B:$B,$C66,'Job Cost Report'!$I:$I)</f>
        <v/>
      </c>
      <c r="F66" s="2">
        <f>SUMIF('Job Cost Report'!$B:$B,$C66,'Job Cost Report'!$J:$J)</f>
        <v/>
      </c>
      <c r="G66" s="2">
        <f>SUMIF('Job Cost Report'!$B:$B,$C66,'Job Cost Report'!$K:$K)</f>
        <v/>
      </c>
      <c r="H66" s="2">
        <f>SUMIF('Job Cost Report'!$B:$B,$C66,'Job Cost Report'!$L:$L)</f>
        <v/>
      </c>
    </row>
    <row r="67">
      <c r="A67">
        <f>IFERROR(INDEX('Job Cost Report'!$E:$E,MATCH($C67,'Job Cost Report'!$B:$B,0)),"")</f>
        <v/>
      </c>
      <c r="B67">
        <f>IFERROR(INDEX('Job Cost Report'!$F:$F,MATCH($C67,'Job Cost Report'!$B:$B,0)),"")</f>
        <v/>
      </c>
      <c r="C67" t="inlineStr">
        <is>
          <t>3.8</t>
        </is>
      </c>
      <c r="D67">
        <f>IFERROR(INDEX('Job Cost Report'!$C:$C,MATCH($C67,'Job Cost Report'!$B:$B,0)),"")</f>
        <v/>
      </c>
      <c r="E67" s="2">
        <f>SUMIF('Job Cost Report'!$B:$B,$C67,'Job Cost Report'!$I:$I)</f>
        <v/>
      </c>
      <c r="F67" s="2">
        <f>SUMIF('Job Cost Report'!$B:$B,$C67,'Job Cost Report'!$J:$J)</f>
        <v/>
      </c>
      <c r="G67" s="2">
        <f>SUMIF('Job Cost Report'!$B:$B,$C67,'Job Cost Report'!$K:$K)</f>
        <v/>
      </c>
      <c r="H67" s="2">
        <f>SUMIF('Job Cost Report'!$B:$B,$C67,'Job Cost Report'!$L:$L)</f>
        <v/>
      </c>
    </row>
    <row r="68">
      <c r="A68">
        <f>IFERROR(INDEX('Job Cost Report'!$E:$E,MATCH($C68,'Job Cost Report'!$B:$B,0)),"")</f>
        <v/>
      </c>
      <c r="B68">
        <f>IFERROR(INDEX('Job Cost Report'!$F:$F,MATCH($C68,'Job Cost Report'!$B:$B,0)),"")</f>
        <v/>
      </c>
      <c r="C68" t="inlineStr">
        <is>
          <t>3.9</t>
        </is>
      </c>
      <c r="D68">
        <f>IFERROR(INDEX('Job Cost Report'!$C:$C,MATCH($C68,'Job Cost Report'!$B:$B,0)),"")</f>
        <v/>
      </c>
      <c r="E68" s="2">
        <f>SUMIF('Job Cost Report'!$B:$B,$C68,'Job Cost Report'!$I:$I)</f>
        <v/>
      </c>
      <c r="F68" s="2">
        <f>SUMIF('Job Cost Report'!$B:$B,$C68,'Job Cost Report'!$J:$J)</f>
        <v/>
      </c>
      <c r="G68" s="2">
        <f>SUMIF('Job Cost Report'!$B:$B,$C68,'Job Cost Report'!$K:$K)</f>
        <v/>
      </c>
      <c r="H68" s="2">
        <f>SUMIF('Job Cost Report'!$B:$B,$C68,'Job Cost Report'!$L:$L)</f>
        <v/>
      </c>
    </row>
    <row r="69">
      <c r="A69">
        <f>IFERROR(INDEX('Job Cost Report'!$E:$E,MATCH($C69,'Job Cost Report'!$B:$B,0)),"")</f>
        <v/>
      </c>
      <c r="B69">
        <f>IFERROR(INDEX('Job Cost Report'!$F:$F,MATCH($C69,'Job Cost Report'!$B:$B,0)),"")</f>
        <v/>
      </c>
      <c r="C69" t="inlineStr">
        <is>
          <t>3.101</t>
        </is>
      </c>
      <c r="D69">
        <f>IFERROR(INDEX('Job Cost Report'!$C:$C,MATCH($C69,'Job Cost Report'!$B:$B,0)),"")</f>
        <v/>
      </c>
      <c r="E69" s="2">
        <f>SUMIF('Job Cost Report'!$B:$B,$C69,'Job Cost Report'!$I:$I)</f>
        <v/>
      </c>
      <c r="F69" s="2">
        <f>SUMIF('Job Cost Report'!$B:$B,$C69,'Job Cost Report'!$J:$J)</f>
        <v/>
      </c>
      <c r="G69" s="2">
        <f>SUMIF('Job Cost Report'!$B:$B,$C69,'Job Cost Report'!$K:$K)</f>
        <v/>
      </c>
      <c r="H69" s="2">
        <f>SUMIF('Job Cost Report'!$B:$B,$C69,'Job Cost Report'!$L:$L)</f>
        <v/>
      </c>
    </row>
    <row r="70">
      <c r="A70">
        <f>IFERROR(INDEX('Job Cost Report'!$E:$E,MATCH($C70,'Job Cost Report'!$B:$B,0)),"")</f>
        <v/>
      </c>
      <c r="B70">
        <f>IFERROR(INDEX('Job Cost Report'!$F:$F,MATCH($C70,'Job Cost Report'!$B:$B,0)),"")</f>
        <v/>
      </c>
      <c r="C70" t="inlineStr">
        <is>
          <t>3.11</t>
        </is>
      </c>
      <c r="D70">
        <f>IFERROR(INDEX('Job Cost Report'!$C:$C,MATCH($C70,'Job Cost Report'!$B:$B,0)),"")</f>
        <v/>
      </c>
      <c r="E70" s="2">
        <f>SUMIF('Job Cost Report'!$B:$B,$C70,'Job Cost Report'!$I:$I)</f>
        <v/>
      </c>
      <c r="F70" s="2">
        <f>SUMIF('Job Cost Report'!$B:$B,$C70,'Job Cost Report'!$J:$J)</f>
        <v/>
      </c>
      <c r="G70" s="2">
        <f>SUMIF('Job Cost Report'!$B:$B,$C70,'Job Cost Report'!$K:$K)</f>
        <v/>
      </c>
      <c r="H70" s="2">
        <f>SUMIF('Job Cost Report'!$B:$B,$C70,'Job Cost Report'!$L:$L)</f>
        <v/>
      </c>
    </row>
    <row r="71">
      <c r="A71">
        <f>IFERROR(INDEX('Job Cost Report'!$E:$E,MATCH($C71,'Job Cost Report'!$B:$B,0)),"")</f>
        <v/>
      </c>
      <c r="B71">
        <f>IFERROR(INDEX('Job Cost Report'!$F:$F,MATCH($C71,'Job Cost Report'!$B:$B,0)),"")</f>
        <v/>
      </c>
      <c r="C71" t="inlineStr">
        <is>
          <t>4.1</t>
        </is>
      </c>
      <c r="D71">
        <f>IFERROR(INDEX('Job Cost Report'!$C:$C,MATCH($C71,'Job Cost Report'!$B:$B,0)),"")</f>
        <v/>
      </c>
      <c r="E71" s="2">
        <f>SUMIF('Job Cost Report'!$B:$B,$C71,'Job Cost Report'!$I:$I)</f>
        <v/>
      </c>
      <c r="F71" s="2">
        <f>SUMIF('Job Cost Report'!$B:$B,$C71,'Job Cost Report'!$J:$J)</f>
        <v/>
      </c>
      <c r="G71" s="2">
        <f>SUMIF('Job Cost Report'!$B:$B,$C71,'Job Cost Report'!$K:$K)</f>
        <v/>
      </c>
      <c r="H71" s="2">
        <f>SUMIF('Job Cost Report'!$B:$B,$C71,'Job Cost Report'!$L:$L)</f>
        <v/>
      </c>
    </row>
    <row r="72">
      <c r="A72">
        <f>IFERROR(INDEX('Job Cost Report'!$E:$E,MATCH($C72,'Job Cost Report'!$B:$B,0)),"")</f>
        <v/>
      </c>
      <c r="B72">
        <f>IFERROR(INDEX('Job Cost Report'!$F:$F,MATCH($C72,'Job Cost Report'!$B:$B,0)),"")</f>
        <v/>
      </c>
      <c r="C72" t="inlineStr">
        <is>
          <t>4.2.1</t>
        </is>
      </c>
      <c r="D72">
        <f>IFERROR(INDEX('Job Cost Report'!$C:$C,MATCH($C72,'Job Cost Report'!$B:$B,0)),"")</f>
        <v/>
      </c>
      <c r="E72" s="2">
        <f>SUMIF('Job Cost Report'!$B:$B,$C72,'Job Cost Report'!$I:$I)</f>
        <v/>
      </c>
      <c r="F72" s="2">
        <f>SUMIF('Job Cost Report'!$B:$B,$C72,'Job Cost Report'!$J:$J)</f>
        <v/>
      </c>
      <c r="G72" s="2">
        <f>SUMIF('Job Cost Report'!$B:$B,$C72,'Job Cost Report'!$K:$K)</f>
        <v/>
      </c>
      <c r="H72" s="2">
        <f>SUMIF('Job Cost Report'!$B:$B,$C72,'Job Cost Report'!$L:$L)</f>
        <v/>
      </c>
    </row>
    <row r="73">
      <c r="A73">
        <f>IFERROR(INDEX('Job Cost Report'!$E:$E,MATCH($C73,'Job Cost Report'!$B:$B,0)),"")</f>
        <v/>
      </c>
      <c r="B73">
        <f>IFERROR(INDEX('Job Cost Report'!$F:$F,MATCH($C73,'Job Cost Report'!$B:$B,0)),"")</f>
        <v/>
      </c>
      <c r="C73" t="inlineStr">
        <is>
          <t>4.2.2</t>
        </is>
      </c>
      <c r="D73">
        <f>IFERROR(INDEX('Job Cost Report'!$C:$C,MATCH($C73,'Job Cost Report'!$B:$B,0)),"")</f>
        <v/>
      </c>
      <c r="E73" s="2">
        <f>SUMIF('Job Cost Report'!$B:$B,$C73,'Job Cost Report'!$I:$I)</f>
        <v/>
      </c>
      <c r="F73" s="2">
        <f>SUMIF('Job Cost Report'!$B:$B,$C73,'Job Cost Report'!$J:$J)</f>
        <v/>
      </c>
      <c r="G73" s="2">
        <f>SUMIF('Job Cost Report'!$B:$B,$C73,'Job Cost Report'!$K:$K)</f>
        <v/>
      </c>
      <c r="H73" s="2">
        <f>SUMIF('Job Cost Report'!$B:$B,$C73,'Job Cost Report'!$L:$L)</f>
        <v/>
      </c>
    </row>
    <row r="74">
      <c r="A74">
        <f>IFERROR(INDEX('Job Cost Report'!$E:$E,MATCH($C74,'Job Cost Report'!$B:$B,0)),"")</f>
        <v/>
      </c>
      <c r="B74">
        <f>IFERROR(INDEX('Job Cost Report'!$F:$F,MATCH($C74,'Job Cost Report'!$B:$B,0)),"")</f>
        <v/>
      </c>
      <c r="C74" t="inlineStr">
        <is>
          <t>4.2.3</t>
        </is>
      </c>
      <c r="D74">
        <f>IFERROR(INDEX('Job Cost Report'!$C:$C,MATCH($C74,'Job Cost Report'!$B:$B,0)),"")</f>
        <v/>
      </c>
      <c r="E74" s="2">
        <f>SUMIF('Job Cost Report'!$B:$B,$C74,'Job Cost Report'!$I:$I)</f>
        <v/>
      </c>
      <c r="F74" s="2">
        <f>SUMIF('Job Cost Report'!$B:$B,$C74,'Job Cost Report'!$J:$J)</f>
        <v/>
      </c>
      <c r="G74" s="2">
        <f>SUMIF('Job Cost Report'!$B:$B,$C74,'Job Cost Report'!$K:$K)</f>
        <v/>
      </c>
      <c r="H74" s="2">
        <f>SUMIF('Job Cost Report'!$B:$B,$C74,'Job Cost Report'!$L:$L)</f>
        <v/>
      </c>
    </row>
    <row r="75">
      <c r="A75">
        <f>IFERROR(INDEX('Job Cost Report'!$E:$E,MATCH($C75,'Job Cost Report'!$B:$B,0)),"")</f>
        <v/>
      </c>
      <c r="B75">
        <f>IFERROR(INDEX('Job Cost Report'!$F:$F,MATCH($C75,'Job Cost Report'!$B:$B,0)),"")</f>
        <v/>
      </c>
      <c r="C75" t="inlineStr">
        <is>
          <t>4.3</t>
        </is>
      </c>
      <c r="D75">
        <f>IFERROR(INDEX('Job Cost Report'!$C:$C,MATCH($C75,'Job Cost Report'!$B:$B,0)),"")</f>
        <v/>
      </c>
      <c r="E75" s="2">
        <f>SUMIF('Job Cost Report'!$B:$B,$C75,'Job Cost Report'!$I:$I)</f>
        <v/>
      </c>
      <c r="F75" s="2">
        <f>SUMIF('Job Cost Report'!$B:$B,$C75,'Job Cost Report'!$J:$J)</f>
        <v/>
      </c>
      <c r="G75" s="2">
        <f>SUMIF('Job Cost Report'!$B:$B,$C75,'Job Cost Report'!$K:$K)</f>
        <v/>
      </c>
      <c r="H75" s="2">
        <f>SUMIF('Job Cost Report'!$B:$B,$C75,'Job Cost Report'!$L:$L)</f>
        <v/>
      </c>
    </row>
    <row r="76">
      <c r="A76">
        <f>IFERROR(INDEX('Job Cost Report'!$E:$E,MATCH($C76,'Job Cost Report'!$B:$B,0)),"")</f>
        <v/>
      </c>
      <c r="B76">
        <f>IFERROR(INDEX('Job Cost Report'!$F:$F,MATCH($C76,'Job Cost Report'!$B:$B,0)),"")</f>
        <v/>
      </c>
      <c r="C76" t="inlineStr">
        <is>
          <t>4.4</t>
        </is>
      </c>
      <c r="D76">
        <f>IFERROR(INDEX('Job Cost Report'!$C:$C,MATCH($C76,'Job Cost Report'!$B:$B,0)),"")</f>
        <v/>
      </c>
      <c r="E76" s="2">
        <f>SUMIF('Job Cost Report'!$B:$B,$C76,'Job Cost Report'!$I:$I)</f>
        <v/>
      </c>
      <c r="F76" s="2">
        <f>SUMIF('Job Cost Report'!$B:$B,$C76,'Job Cost Report'!$J:$J)</f>
        <v/>
      </c>
      <c r="G76" s="2">
        <f>SUMIF('Job Cost Report'!$B:$B,$C76,'Job Cost Report'!$K:$K)</f>
        <v/>
      </c>
      <c r="H76" s="2">
        <f>SUMIF('Job Cost Report'!$B:$B,$C76,'Job Cost Report'!$L:$L)</f>
        <v/>
      </c>
    </row>
    <row r="77">
      <c r="A77">
        <f>IFERROR(INDEX('Job Cost Report'!$E:$E,MATCH($C77,'Job Cost Report'!$B:$B,0)),"")</f>
        <v/>
      </c>
      <c r="B77">
        <f>IFERROR(INDEX('Job Cost Report'!$F:$F,MATCH($C77,'Job Cost Report'!$B:$B,0)),"")</f>
        <v/>
      </c>
      <c r="C77" t="inlineStr">
        <is>
          <t>8.1</t>
        </is>
      </c>
      <c r="D77">
        <f>IFERROR(INDEX('Job Cost Report'!$C:$C,MATCH($C77,'Job Cost Report'!$B:$B,0)),"")</f>
        <v/>
      </c>
      <c r="E77" s="2">
        <f>SUMIF('Job Cost Report'!$B:$B,$C77,'Job Cost Report'!$I:$I)</f>
        <v/>
      </c>
      <c r="F77" s="2">
        <f>SUMIF('Job Cost Report'!$B:$B,$C77,'Job Cost Report'!$J:$J)</f>
        <v/>
      </c>
      <c r="G77" s="2">
        <f>SUMIF('Job Cost Report'!$B:$B,$C77,'Job Cost Report'!$K:$K)</f>
        <v/>
      </c>
      <c r="H77" s="2">
        <f>SUMIF('Job Cost Report'!$B:$B,$C77,'Job Cost Report'!$L:$L)</f>
        <v/>
      </c>
    </row>
    <row r="78">
      <c r="A78">
        <f>IFERROR(INDEX('Job Cost Report'!$E:$E,MATCH($C78,'Job Cost Report'!$B:$B,0)),"")</f>
        <v/>
      </c>
      <c r="B78">
        <f>IFERROR(INDEX('Job Cost Report'!$F:$F,MATCH($C78,'Job Cost Report'!$B:$B,0)),"")</f>
        <v/>
      </c>
      <c r="C78" t="inlineStr">
        <is>
          <t>8.2</t>
        </is>
      </c>
      <c r="D78">
        <f>IFERROR(INDEX('Job Cost Report'!$C:$C,MATCH($C78,'Job Cost Report'!$B:$B,0)),"")</f>
        <v/>
      </c>
      <c r="E78" s="2">
        <f>SUMIF('Job Cost Report'!$B:$B,$C78,'Job Cost Report'!$I:$I)</f>
        <v/>
      </c>
      <c r="F78" s="2">
        <f>SUMIF('Job Cost Report'!$B:$B,$C78,'Job Cost Report'!$J:$J)</f>
        <v/>
      </c>
      <c r="G78" s="2">
        <f>SUMIF('Job Cost Report'!$B:$B,$C78,'Job Cost Report'!$K:$K)</f>
        <v/>
      </c>
      <c r="H78" s="2">
        <f>SUMIF('Job Cost Report'!$B:$B,$C78,'Job Cost Report'!$L:$L)</f>
        <v/>
      </c>
    </row>
    <row r="79">
      <c r="A79">
        <f>IFERROR(INDEX('Job Cost Report'!$E:$E,MATCH($C79,'Job Cost Report'!$B:$B,0)),"")</f>
        <v/>
      </c>
      <c r="B79">
        <f>IFERROR(INDEX('Job Cost Report'!$F:$F,MATCH($C79,'Job Cost Report'!$B:$B,0)),"")</f>
        <v/>
      </c>
      <c r="C79" t="inlineStr">
        <is>
          <t>8.4</t>
        </is>
      </c>
      <c r="D79">
        <f>IFERROR(INDEX('Job Cost Report'!$C:$C,MATCH($C79,'Job Cost Report'!$B:$B,0)),"")</f>
        <v/>
      </c>
      <c r="E79" s="2">
        <f>SUMIF('Job Cost Report'!$B:$B,$C79,'Job Cost Report'!$I:$I)</f>
        <v/>
      </c>
      <c r="F79" s="2">
        <f>SUMIF('Job Cost Report'!$B:$B,$C79,'Job Cost Report'!$J:$J)</f>
        <v/>
      </c>
      <c r="G79" s="2">
        <f>SUMIF('Job Cost Report'!$B:$B,$C79,'Job Cost Report'!$K:$K)</f>
        <v/>
      </c>
      <c r="H79" s="2">
        <f>SUMIF('Job Cost Report'!$B:$B,$C79,'Job Cost Report'!$L:$L)</f>
        <v/>
      </c>
    </row>
    <row r="80">
      <c r="A80">
        <f>IFERROR(INDEX('Job Cost Report'!$E:$E,MATCH($C80,'Job Cost Report'!$B:$B,0)),"")</f>
        <v/>
      </c>
      <c r="B80">
        <f>IFERROR(INDEX('Job Cost Report'!$F:$F,MATCH($C80,'Job Cost Report'!$B:$B,0)),"")</f>
        <v/>
      </c>
      <c r="C80" t="inlineStr">
        <is>
          <t>7.1</t>
        </is>
      </c>
      <c r="D80">
        <f>IFERROR(INDEX('Job Cost Report'!$C:$C,MATCH($C80,'Job Cost Report'!$B:$B,0)),"")</f>
        <v/>
      </c>
      <c r="E80" s="2">
        <f>SUMIF('Job Cost Report'!$B:$B,$C80,'Job Cost Report'!$I:$I)</f>
        <v/>
      </c>
      <c r="F80" s="2">
        <f>SUMIF('Job Cost Report'!$B:$B,$C80,'Job Cost Report'!$J:$J)</f>
        <v/>
      </c>
      <c r="G80" s="2">
        <f>SUMIF('Job Cost Report'!$B:$B,$C80,'Job Cost Report'!$K:$K)</f>
        <v/>
      </c>
      <c r="H80" s="2">
        <f>SUMIF('Job Cost Report'!$B:$B,$C80,'Job Cost Report'!$L:$L)</f>
        <v/>
      </c>
    </row>
  </sheetData>
  <autoFilter ref="A3:H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 showOutlineSymbols="1"/>
    <pageSetUpPr/>
  </sheetPr>
  <dimension ref="A1:CD98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42" customWidth="1" min="3" max="3"/>
    <col width="14" customWidth="1" min="4" max="4"/>
    <col width="20" customWidth="1" min="5" max="5"/>
    <col width="20" customWidth="1" min="6" max="6"/>
    <col width="15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4" customWidth="1" min="13" max="13"/>
    <col outlineLevel="2" width="5.5" customWidth="1" min="14" max="14"/>
    <col outlineLevel="2" width="5.5" customWidth="1" min="15" max="15"/>
    <col outlineLevel="2" width="5.5" customWidth="1" min="16" max="16"/>
    <col outlineLevel="2" width="5.5" customWidth="1" min="17" max="17"/>
    <col outlineLevel="1" width="12" customWidth="1" min="18" max="18"/>
    <col outlineLevel="2" width="5.5" customWidth="1" min="19" max="19"/>
    <col outlineLevel="2" width="5.5" customWidth="1" min="20" max="20"/>
    <col outlineLevel="2" width="5.5" customWidth="1" min="21" max="21"/>
    <col outlineLevel="2" width="5.5" customWidth="1" min="22" max="22"/>
    <col outlineLevel="1" width="12" customWidth="1" min="23" max="23"/>
    <col outlineLevel="2" width="5.5" customWidth="1" min="24" max="24"/>
    <col outlineLevel="2" width="5.5" customWidth="1" min="25" max="25"/>
    <col outlineLevel="2" width="5.5" customWidth="1" min="26" max="26"/>
    <col outlineLevel="2" width="5.5" customWidth="1" min="27" max="27"/>
    <col outlineLevel="2" width="5.5" customWidth="1" min="28" max="28"/>
    <col outlineLevel="1" width="12" customWidth="1" min="29" max="29"/>
    <col width="14" customWidth="1" min="30" max="30"/>
    <col outlineLevel="2" width="5.5" customWidth="1" min="31" max="31"/>
    <col outlineLevel="2" width="5.5" customWidth="1" min="32" max="32"/>
    <col outlineLevel="2" width="5.5" customWidth="1" min="33" max="33"/>
    <col outlineLevel="2" width="5.5" customWidth="1" min="34" max="34"/>
    <col outlineLevel="1" width="12" customWidth="1" min="35" max="35"/>
    <col outlineLevel="2" width="5.5" customWidth="1" min="36" max="36"/>
    <col outlineLevel="2" width="5.5" customWidth="1" min="37" max="37"/>
    <col outlineLevel="2" width="5.5" customWidth="1" min="38" max="38"/>
    <col outlineLevel="2" width="5.5" customWidth="1" min="39" max="39"/>
    <col outlineLevel="1" width="12" customWidth="1" min="40" max="40"/>
    <col outlineLevel="2" width="5.5" customWidth="1" min="41" max="41"/>
    <col outlineLevel="2" width="5.5" customWidth="1" min="42" max="42"/>
    <col outlineLevel="2" width="5.5" customWidth="1" min="43" max="43"/>
    <col outlineLevel="2" width="5.5" customWidth="1" min="44" max="44"/>
    <col outlineLevel="2" width="5.5" customWidth="1" min="45" max="45"/>
    <col outlineLevel="1" width="12" customWidth="1" min="46" max="46"/>
    <col width="14" customWidth="1" min="47" max="47"/>
    <col outlineLevel="2" width="5.5" customWidth="1" min="48" max="48"/>
    <col outlineLevel="2" width="5.5" customWidth="1" min="49" max="49"/>
    <col outlineLevel="2" width="5.5" customWidth="1" min="50" max="50"/>
    <col outlineLevel="2" width="5.5" customWidth="1" min="51" max="51"/>
    <col outlineLevel="1" width="12" customWidth="1" min="52" max="52"/>
    <col outlineLevel="2" width="5.5" customWidth="1" min="53" max="53"/>
    <col outlineLevel="2" width="5.5" customWidth="1" min="54" max="54"/>
    <col outlineLevel="2" width="5.5" customWidth="1" min="55" max="55"/>
    <col outlineLevel="2" width="5.5" customWidth="1" min="56" max="56"/>
    <col outlineLevel="2" width="5.5" customWidth="1" min="57" max="57"/>
    <col outlineLevel="1" width="12" customWidth="1" min="58" max="58"/>
    <col outlineLevel="2" width="5.5" customWidth="1" min="59" max="59"/>
    <col outlineLevel="2" width="5.5" customWidth="1" min="60" max="60"/>
    <col outlineLevel="2" width="5.5" customWidth="1" min="61" max="61"/>
    <col outlineLevel="2" width="5.5" customWidth="1" min="62" max="62"/>
    <col outlineLevel="1" width="12" customWidth="1" min="63" max="63"/>
    <col width="14" customWidth="1" min="64" max="64"/>
    <col outlineLevel="2" width="5.5" customWidth="1" min="65" max="65"/>
    <col outlineLevel="2" width="5.5" customWidth="1" min="66" max="66"/>
    <col outlineLevel="2" width="5.5" customWidth="1" min="67" max="67"/>
    <col outlineLevel="2" width="5.5" customWidth="1" min="68" max="68"/>
    <col outlineLevel="1" width="12" customWidth="1" min="69" max="69"/>
    <col outlineLevel="2" width="5.5" customWidth="1" min="70" max="70"/>
    <col outlineLevel="2" width="5.5" customWidth="1" min="71" max="71"/>
    <col outlineLevel="2" width="5.5" customWidth="1" min="72" max="72"/>
    <col outlineLevel="2" width="5.5" customWidth="1" min="73" max="73"/>
    <col outlineLevel="2" width="5.5" customWidth="1" min="74" max="74"/>
    <col outlineLevel="1" width="12" customWidth="1" min="75" max="75"/>
    <col outlineLevel="2" width="5.5" customWidth="1" min="76" max="76"/>
    <col outlineLevel="2" width="5.5" customWidth="1" min="77" max="77"/>
    <col outlineLevel="2" width="5.5" customWidth="1" min="78" max="78"/>
    <col outlineLevel="2" width="5.5" customWidth="1" min="79" max="79"/>
    <col outlineLevel="1" width="12" customWidth="1" min="80" max="80"/>
    <col width="14" customWidth="1" min="81" max="81"/>
    <col width="15" customWidth="1" min="82" max="82"/>
  </cols>
  <sheetData>
    <row r="1">
      <c r="A1" s="4" t="inlineStr">
        <is>
          <t>DASHBOARD VENTANAS — Job Cost Report</t>
        </is>
      </c>
    </row>
    <row r="2">
      <c r="A2" s="5" t="inlineStr">
        <is>
          <t>Modelo vivo. Editá el LEDGER y todo recalcula.</t>
        </is>
      </c>
    </row>
    <row r="3">
      <c r="N3" t="inlineStr">
        <is>
          <t>Q1 2026</t>
        </is>
      </c>
      <c r="O3" t="inlineStr">
        <is>
          <t>Q1 2026</t>
        </is>
      </c>
      <c r="P3" t="inlineStr">
        <is>
          <t>Q1 2026</t>
        </is>
      </c>
      <c r="Q3" t="inlineStr">
        <is>
          <t>Q1 2026</t>
        </is>
      </c>
      <c r="R3" t="inlineStr">
        <is>
          <t>Q1 2026</t>
        </is>
      </c>
      <c r="S3" t="inlineStr">
        <is>
          <t>Q1 2026</t>
        </is>
      </c>
      <c r="T3" t="inlineStr">
        <is>
          <t>Q1 2026</t>
        </is>
      </c>
      <c r="U3" t="inlineStr">
        <is>
          <t>Q1 2026</t>
        </is>
      </c>
      <c r="V3" t="inlineStr">
        <is>
          <t>Q1 2026</t>
        </is>
      </c>
      <c r="W3" t="inlineStr">
        <is>
          <t>Q1 2026</t>
        </is>
      </c>
      <c r="X3" t="inlineStr">
        <is>
          <t>Q1 2026</t>
        </is>
      </c>
      <c r="Y3" t="inlineStr">
        <is>
          <t>Q1 2026</t>
        </is>
      </c>
      <c r="Z3" t="inlineStr">
        <is>
          <t>Q1 2026</t>
        </is>
      </c>
      <c r="AA3" t="inlineStr">
        <is>
          <t>Q1 2026</t>
        </is>
      </c>
      <c r="AB3" t="inlineStr">
        <is>
          <t>Q1 2026</t>
        </is>
      </c>
      <c r="AC3" t="inlineStr">
        <is>
          <t>Q1 2026</t>
        </is>
      </c>
      <c r="AD3" t="inlineStr">
        <is>
          <t>Q1 2026</t>
        </is>
      </c>
      <c r="AE3" t="inlineStr">
        <is>
          <t>Q2 2026</t>
        </is>
      </c>
      <c r="AF3" t="inlineStr">
        <is>
          <t>Q2 2026</t>
        </is>
      </c>
      <c r="AG3" t="inlineStr">
        <is>
          <t>Q2 2026</t>
        </is>
      </c>
      <c r="AH3" t="inlineStr">
        <is>
          <t>Q2 2026</t>
        </is>
      </c>
      <c r="AI3" t="inlineStr">
        <is>
          <t>Q2 2026</t>
        </is>
      </c>
      <c r="AJ3" t="inlineStr">
        <is>
          <t>Q2 2026</t>
        </is>
      </c>
      <c r="AK3" t="inlineStr">
        <is>
          <t>Q2 2026</t>
        </is>
      </c>
      <c r="AL3" t="inlineStr">
        <is>
          <t>Q2 2026</t>
        </is>
      </c>
      <c r="AM3" t="inlineStr">
        <is>
          <t>Q2 2026</t>
        </is>
      </c>
      <c r="AN3" t="inlineStr">
        <is>
          <t>Q2 2026</t>
        </is>
      </c>
      <c r="AO3" t="inlineStr">
        <is>
          <t>Q2 2026</t>
        </is>
      </c>
      <c r="AP3" t="inlineStr">
        <is>
          <t>Q2 2026</t>
        </is>
      </c>
      <c r="AQ3" t="inlineStr">
        <is>
          <t>Q2 2026</t>
        </is>
      </c>
      <c r="AR3" t="inlineStr">
        <is>
          <t>Q2 2026</t>
        </is>
      </c>
      <c r="AS3" t="inlineStr">
        <is>
          <t>Q2 2026</t>
        </is>
      </c>
      <c r="AT3" t="inlineStr">
        <is>
          <t>Q2 2026</t>
        </is>
      </c>
      <c r="AU3" t="inlineStr">
        <is>
          <t>Q2 2026</t>
        </is>
      </c>
      <c r="AV3" t="inlineStr">
        <is>
          <t>Q3 2026</t>
        </is>
      </c>
      <c r="AW3" t="inlineStr">
        <is>
          <t>Q3 2026</t>
        </is>
      </c>
      <c r="AX3" t="inlineStr">
        <is>
          <t>Q3 2026</t>
        </is>
      </c>
      <c r="AY3" t="inlineStr">
        <is>
          <t>Q3 2026</t>
        </is>
      </c>
      <c r="AZ3" t="inlineStr">
        <is>
          <t>Q3 2026</t>
        </is>
      </c>
      <c r="BA3" t="inlineStr">
        <is>
          <t>Q3 2026</t>
        </is>
      </c>
      <c r="BB3" t="inlineStr">
        <is>
          <t>Q3 2026</t>
        </is>
      </c>
      <c r="BC3" t="inlineStr">
        <is>
          <t>Q3 2026</t>
        </is>
      </c>
      <c r="BD3" t="inlineStr">
        <is>
          <t>Q3 2026</t>
        </is>
      </c>
      <c r="BE3" t="inlineStr">
        <is>
          <t>Q3 2026</t>
        </is>
      </c>
      <c r="BF3" t="inlineStr">
        <is>
          <t>Q3 2026</t>
        </is>
      </c>
      <c r="BG3" t="inlineStr">
        <is>
          <t>Q3 2026</t>
        </is>
      </c>
      <c r="BH3" t="inlineStr">
        <is>
          <t>Q3 2026</t>
        </is>
      </c>
      <c r="BI3" t="inlineStr">
        <is>
          <t>Q3 2026</t>
        </is>
      </c>
      <c r="BJ3" t="inlineStr">
        <is>
          <t>Q3 2026</t>
        </is>
      </c>
      <c r="BK3" t="inlineStr">
        <is>
          <t>Q3 2026</t>
        </is>
      </c>
      <c r="BL3" t="inlineStr">
        <is>
          <t>Q3 2026</t>
        </is>
      </c>
      <c r="BM3" t="inlineStr">
        <is>
          <t>Q4 2026</t>
        </is>
      </c>
      <c r="BN3" t="inlineStr">
        <is>
          <t>Q4 2026</t>
        </is>
      </c>
      <c r="BO3" t="inlineStr">
        <is>
          <t>Q4 2026</t>
        </is>
      </c>
      <c r="BP3" t="inlineStr">
        <is>
          <t>Q4 2026</t>
        </is>
      </c>
      <c r="BQ3" t="inlineStr">
        <is>
          <t>Q4 2026</t>
        </is>
      </c>
      <c r="BR3" t="inlineStr">
        <is>
          <t>Q4 2026</t>
        </is>
      </c>
      <c r="BS3" t="inlineStr">
        <is>
          <t>Q4 2026</t>
        </is>
      </c>
      <c r="BT3" t="inlineStr">
        <is>
          <t>Q4 2026</t>
        </is>
      </c>
      <c r="BU3" t="inlineStr">
        <is>
          <t>Q4 2026</t>
        </is>
      </c>
      <c r="BV3" t="inlineStr">
        <is>
          <t>Q4 2026</t>
        </is>
      </c>
      <c r="BW3" t="inlineStr">
        <is>
          <t>Q4 2026</t>
        </is>
      </c>
      <c r="BX3" t="inlineStr">
        <is>
          <t>Q4 2026</t>
        </is>
      </c>
      <c r="BY3" t="inlineStr">
        <is>
          <t>Q4 2026</t>
        </is>
      </c>
      <c r="BZ3" t="inlineStr">
        <is>
          <t>Q4 2026</t>
        </is>
      </c>
      <c r="CA3" t="inlineStr">
        <is>
          <t>Q4 2026</t>
        </is>
      </c>
      <c r="CB3" t="inlineStr">
        <is>
          <t>Q4 2026</t>
        </is>
      </c>
      <c r="CC3" t="inlineStr">
        <is>
          <t>Q4 2026</t>
        </is>
      </c>
    </row>
    <row r="4">
      <c r="N4" t="inlineStr">
        <is>
          <t>JAN 2026</t>
        </is>
      </c>
      <c r="O4" t="inlineStr">
        <is>
          <t>JAN 2026</t>
        </is>
      </c>
      <c r="P4" t="inlineStr">
        <is>
          <t>JAN 2026</t>
        </is>
      </c>
      <c r="Q4" t="inlineStr">
        <is>
          <t>JAN 2026</t>
        </is>
      </c>
      <c r="R4" t="inlineStr">
        <is>
          <t>MES</t>
        </is>
      </c>
      <c r="S4" t="inlineStr">
        <is>
          <t>FEB 2026</t>
        </is>
      </c>
      <c r="T4" t="inlineStr">
        <is>
          <t>FEB 2026</t>
        </is>
      </c>
      <c r="U4" t="inlineStr">
        <is>
          <t>FEB 2026</t>
        </is>
      </c>
      <c r="V4" t="inlineStr">
        <is>
          <t>FEB 2026</t>
        </is>
      </c>
      <c r="W4" t="inlineStr">
        <is>
          <t>MES</t>
        </is>
      </c>
      <c r="X4" t="inlineStr">
        <is>
          <t>MAR 2026</t>
        </is>
      </c>
      <c r="Y4" t="inlineStr">
        <is>
          <t>MAR 2026</t>
        </is>
      </c>
      <c r="Z4" t="inlineStr">
        <is>
          <t>MAR 2026</t>
        </is>
      </c>
      <c r="AA4" t="inlineStr">
        <is>
          <t>MAR 2026</t>
        </is>
      </c>
      <c r="AB4" t="inlineStr">
        <is>
          <t>MAR 2026</t>
        </is>
      </c>
      <c r="AC4" t="inlineStr">
        <is>
          <t>MES</t>
        </is>
      </c>
      <c r="AD4" t="inlineStr">
        <is>
          <t>TRIMESTRE</t>
        </is>
      </c>
      <c r="AE4" t="inlineStr">
        <is>
          <t>APR 2026</t>
        </is>
      </c>
      <c r="AF4" t="inlineStr">
        <is>
          <t>APR 2026</t>
        </is>
      </c>
      <c r="AG4" t="inlineStr">
        <is>
          <t>APR 2026</t>
        </is>
      </c>
      <c r="AH4" t="inlineStr">
        <is>
          <t>APR 2026</t>
        </is>
      </c>
      <c r="AI4" t="inlineStr">
        <is>
          <t>MES</t>
        </is>
      </c>
      <c r="AJ4" t="inlineStr">
        <is>
          <t>MAY 2026</t>
        </is>
      </c>
      <c r="AK4" t="inlineStr">
        <is>
          <t>MAY 2026</t>
        </is>
      </c>
      <c r="AL4" t="inlineStr">
        <is>
          <t>MAY 2026</t>
        </is>
      </c>
      <c r="AM4" t="inlineStr">
        <is>
          <t>MAY 2026</t>
        </is>
      </c>
      <c r="AN4" t="inlineStr">
        <is>
          <t>MES</t>
        </is>
      </c>
      <c r="AO4" t="inlineStr">
        <is>
          <t>JUN 2026</t>
        </is>
      </c>
      <c r="AP4" t="inlineStr">
        <is>
          <t>JUN 2026</t>
        </is>
      </c>
      <c r="AQ4" t="inlineStr">
        <is>
          <t>JUN 2026</t>
        </is>
      </c>
      <c r="AR4" t="inlineStr">
        <is>
          <t>JUN 2026</t>
        </is>
      </c>
      <c r="AS4" t="inlineStr">
        <is>
          <t>JUN 2026</t>
        </is>
      </c>
      <c r="AT4" t="inlineStr">
        <is>
          <t>MES</t>
        </is>
      </c>
      <c r="AU4" t="inlineStr">
        <is>
          <t>TRIMESTRE</t>
        </is>
      </c>
      <c r="AV4" t="inlineStr">
        <is>
          <t>JUL 2026</t>
        </is>
      </c>
      <c r="AW4" t="inlineStr">
        <is>
          <t>JUL 2026</t>
        </is>
      </c>
      <c r="AX4" t="inlineStr">
        <is>
          <t>JUL 2026</t>
        </is>
      </c>
      <c r="AY4" t="inlineStr">
        <is>
          <t>JUL 2026</t>
        </is>
      </c>
      <c r="AZ4" t="inlineStr">
        <is>
          <t>MES</t>
        </is>
      </c>
      <c r="BA4" t="inlineStr">
        <is>
          <t>AUG 2026</t>
        </is>
      </c>
      <c r="BB4" t="inlineStr">
        <is>
          <t>AUG 2026</t>
        </is>
      </c>
      <c r="BC4" t="inlineStr">
        <is>
          <t>AUG 2026</t>
        </is>
      </c>
      <c r="BD4" t="inlineStr">
        <is>
          <t>AUG 2026</t>
        </is>
      </c>
      <c r="BE4" t="inlineStr">
        <is>
          <t>AUG 2026</t>
        </is>
      </c>
      <c r="BF4" t="inlineStr">
        <is>
          <t>MES</t>
        </is>
      </c>
      <c r="BG4" t="inlineStr">
        <is>
          <t>SEP 2026</t>
        </is>
      </c>
      <c r="BH4" t="inlineStr">
        <is>
          <t>SEP 2026</t>
        </is>
      </c>
      <c r="BI4" t="inlineStr">
        <is>
          <t>SEP 2026</t>
        </is>
      </c>
      <c r="BJ4" t="inlineStr">
        <is>
          <t>SEP 2026</t>
        </is>
      </c>
      <c r="BK4" t="inlineStr">
        <is>
          <t>MES</t>
        </is>
      </c>
      <c r="BL4" t="inlineStr">
        <is>
          <t>TRIMESTRE</t>
        </is>
      </c>
      <c r="BM4" t="inlineStr">
        <is>
          <t>OCT 2026</t>
        </is>
      </c>
      <c r="BN4" t="inlineStr">
        <is>
          <t>OCT 2026</t>
        </is>
      </c>
      <c r="BO4" t="inlineStr">
        <is>
          <t>OCT 2026</t>
        </is>
      </c>
      <c r="BP4" t="inlineStr">
        <is>
          <t>OCT 2026</t>
        </is>
      </c>
      <c r="BQ4" t="inlineStr">
        <is>
          <t>MES</t>
        </is>
      </c>
      <c r="BR4" t="inlineStr">
        <is>
          <t>NOV 2026</t>
        </is>
      </c>
      <c r="BS4" t="inlineStr">
        <is>
          <t>NOV 2026</t>
        </is>
      </c>
      <c r="BT4" t="inlineStr">
        <is>
          <t>NOV 2026</t>
        </is>
      </c>
      <c r="BU4" t="inlineStr">
        <is>
          <t>NOV 2026</t>
        </is>
      </c>
      <c r="BV4" t="inlineStr">
        <is>
          <t>NOV 2026</t>
        </is>
      </c>
      <c r="BW4" t="inlineStr">
        <is>
          <t>MES</t>
        </is>
      </c>
      <c r="BX4" t="inlineStr">
        <is>
          <t>DEC 2026</t>
        </is>
      </c>
      <c r="BY4" t="inlineStr">
        <is>
          <t>DEC 2026</t>
        </is>
      </c>
      <c r="BZ4" t="inlineStr">
        <is>
          <t>DEC 2026</t>
        </is>
      </c>
      <c r="CA4" t="inlineStr">
        <is>
          <t>DEC 2026</t>
        </is>
      </c>
      <c r="CB4" t="inlineStr">
        <is>
          <t>MES</t>
        </is>
      </c>
      <c r="CC4" t="inlineStr">
        <is>
          <t>TRIMESTRE</t>
        </is>
      </c>
    </row>
    <row r="5" ht="30" customHeight="1">
      <c r="A5" s="6" t="inlineStr">
        <is>
          <t>Status</t>
        </is>
      </c>
      <c r="B5" s="6" t="inlineStr">
        <is>
          <t>WBS</t>
        </is>
      </c>
      <c r="C5" s="6" t="inlineStr">
        <is>
          <t>Task Title</t>
        </is>
      </c>
      <c r="D5" s="6" t="inlineStr">
        <is>
          <t>Owner</t>
        </is>
      </c>
      <c r="E5" s="6" t="inlineStr">
        <is>
          <t>Category</t>
        </is>
      </c>
      <c r="F5" s="6" t="inlineStr">
        <is>
          <t>Phase</t>
        </is>
      </c>
      <c r="G5" s="6" t="inlineStr">
        <is>
          <t>Budget Original</t>
        </is>
      </c>
      <c r="H5" s="6" t="inlineStr">
        <is>
          <t>Budget Change</t>
        </is>
      </c>
      <c r="I5" s="6" t="inlineStr">
        <is>
          <t>Budget Revised</t>
        </is>
      </c>
      <c r="J5" s="6" t="inlineStr">
        <is>
          <t>Spend</t>
        </is>
      </c>
      <c r="K5" s="6" t="inlineStr">
        <is>
          <t>Remaining</t>
        </is>
      </c>
      <c r="L5" s="6" t="inlineStr">
        <is>
          <t>Forecast</t>
        </is>
      </c>
      <c r="M5" s="6" t="inlineStr">
        <is>
          <t>Variance</t>
        </is>
      </c>
      <c r="N5" s="7" t="n">
        <v>5</v>
      </c>
      <c r="O5" s="7" t="n">
        <v>12</v>
      </c>
      <c r="P5" s="7" t="n">
        <v>19</v>
      </c>
      <c r="Q5" s="7" t="n">
        <v>26</v>
      </c>
      <c r="R5" s="8" t="inlineStr">
        <is>
          <t>JAN</t>
        </is>
      </c>
      <c r="S5" s="7" t="n">
        <v>2</v>
      </c>
      <c r="T5" s="7" t="n">
        <v>9</v>
      </c>
      <c r="U5" s="7" t="n">
        <v>16</v>
      </c>
      <c r="V5" s="7" t="n">
        <v>23</v>
      </c>
      <c r="W5" s="8" t="inlineStr">
        <is>
          <t>FEB</t>
        </is>
      </c>
      <c r="X5" s="7" t="n">
        <v>2</v>
      </c>
      <c r="Y5" s="7" t="n">
        <v>9</v>
      </c>
      <c r="Z5" s="7" t="n">
        <v>16</v>
      </c>
      <c r="AA5" s="7" t="n">
        <v>23</v>
      </c>
      <c r="AB5" s="7" t="n">
        <v>30</v>
      </c>
      <c r="AC5" s="8" t="inlineStr">
        <is>
          <t>MAR</t>
        </is>
      </c>
      <c r="AD5" s="9" t="inlineStr">
        <is>
          <t>Q1 2026</t>
        </is>
      </c>
      <c r="AE5" s="7" t="n">
        <v>6</v>
      </c>
      <c r="AF5" s="7" t="n">
        <v>13</v>
      </c>
      <c r="AG5" s="7" t="n">
        <v>20</v>
      </c>
      <c r="AH5" s="7" t="n">
        <v>27</v>
      </c>
      <c r="AI5" s="8" t="inlineStr">
        <is>
          <t>APR</t>
        </is>
      </c>
      <c r="AJ5" s="7" t="n">
        <v>4</v>
      </c>
      <c r="AK5" s="7" t="n">
        <v>11</v>
      </c>
      <c r="AL5" s="7" t="n">
        <v>18</v>
      </c>
      <c r="AM5" s="7" t="n">
        <v>25</v>
      </c>
      <c r="AN5" s="8" t="inlineStr">
        <is>
          <t>MAY</t>
        </is>
      </c>
      <c r="AO5" s="7" t="n">
        <v>1</v>
      </c>
      <c r="AP5" s="7" t="n">
        <v>8</v>
      </c>
      <c r="AQ5" s="7" t="n">
        <v>15</v>
      </c>
      <c r="AR5" s="7" t="n">
        <v>22</v>
      </c>
      <c r="AS5" s="7" t="n">
        <v>29</v>
      </c>
      <c r="AT5" s="8" t="inlineStr">
        <is>
          <t>JUN</t>
        </is>
      </c>
      <c r="AU5" s="9" t="inlineStr">
        <is>
          <t>Q2 2026</t>
        </is>
      </c>
      <c r="AV5" s="7" t="n">
        <v>6</v>
      </c>
      <c r="AW5" s="7" t="n">
        <v>13</v>
      </c>
      <c r="AX5" s="7" t="n">
        <v>20</v>
      </c>
      <c r="AY5" s="7" t="n">
        <v>27</v>
      </c>
      <c r="AZ5" s="8" t="inlineStr">
        <is>
          <t>JUL</t>
        </is>
      </c>
      <c r="BA5" s="7" t="n">
        <v>3</v>
      </c>
      <c r="BB5" s="7" t="n">
        <v>10</v>
      </c>
      <c r="BC5" s="7" t="n">
        <v>17</v>
      </c>
      <c r="BD5" s="7" t="n">
        <v>24</v>
      </c>
      <c r="BE5" s="7" t="n">
        <v>31</v>
      </c>
      <c r="BF5" s="8" t="inlineStr">
        <is>
          <t>AUG</t>
        </is>
      </c>
      <c r="BG5" s="7" t="n">
        <v>7</v>
      </c>
      <c r="BH5" s="7" t="n">
        <v>14</v>
      </c>
      <c r="BI5" s="7" t="n">
        <v>21</v>
      </c>
      <c r="BJ5" s="7" t="n">
        <v>28</v>
      </c>
      <c r="BK5" s="8" t="inlineStr">
        <is>
          <t>SEP</t>
        </is>
      </c>
      <c r="BL5" s="9" t="inlineStr">
        <is>
          <t>Q3 2026</t>
        </is>
      </c>
      <c r="BM5" s="7" t="n">
        <v>5</v>
      </c>
      <c r="BN5" s="7" t="n">
        <v>12</v>
      </c>
      <c r="BO5" s="7" t="n">
        <v>19</v>
      </c>
      <c r="BP5" s="7" t="n">
        <v>26</v>
      </c>
      <c r="BQ5" s="8" t="inlineStr">
        <is>
          <t>OCT</t>
        </is>
      </c>
      <c r="BR5" s="7" t="n">
        <v>2</v>
      </c>
      <c r="BS5" s="7" t="n">
        <v>9</v>
      </c>
      <c r="BT5" s="7" t="n">
        <v>16</v>
      </c>
      <c r="BU5" s="7" t="n">
        <v>23</v>
      </c>
      <c r="BV5" s="7" t="n">
        <v>30</v>
      </c>
      <c r="BW5" s="8" t="inlineStr">
        <is>
          <t>NOV</t>
        </is>
      </c>
      <c r="BX5" s="7" t="n">
        <v>7</v>
      </c>
      <c r="BY5" s="7" t="n">
        <v>14</v>
      </c>
      <c r="BZ5" s="7" t="n">
        <v>21</v>
      </c>
      <c r="CA5" s="7" t="n">
        <v>28</v>
      </c>
      <c r="CB5" s="8" t="inlineStr">
        <is>
          <t>DEC</t>
        </is>
      </c>
      <c r="CC5" s="9" t="inlineStr">
        <is>
          <t>Q4 2026</t>
        </is>
      </c>
      <c r="CD5" s="1" t="inlineStr">
        <is>
          <t>TOTAL</t>
        </is>
      </c>
    </row>
    <row r="6">
      <c r="A6" s="10" t="n"/>
      <c r="B6" s="10" t="n"/>
      <c r="C6" s="11" t="inlineStr">
        <is>
          <t>TOTAL &lt;object object at 0x7f16e877ac70&gt;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</row>
    <row r="7">
      <c r="A7" s="12" t="inlineStr">
        <is>
          <t>0-PROPERTY ACQUISITION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</row>
    <row r="8">
      <c r="A8" t="inlineStr">
        <is>
          <t>Completed</t>
        </is>
      </c>
      <c r="B8" t="inlineStr">
        <is>
          <t>0.0001</t>
        </is>
      </c>
      <c r="C8" t="inlineStr">
        <is>
          <t>Due Diligence / Closing Costs</t>
        </is>
      </c>
      <c r="D8" t="inlineStr">
        <is>
          <t>HOVDE</t>
        </is>
      </c>
      <c r="E8" t="inlineStr">
        <is>
          <t>0-Property Acquisition</t>
        </is>
      </c>
      <c r="F8" t="inlineStr">
        <is>
          <t>Phase 1</t>
        </is>
      </c>
      <c r="G8" s="2" t="n">
        <v>388000</v>
      </c>
      <c r="H8" s="2" t="n">
        <v>415720.07</v>
      </c>
      <c r="I8" s="2">
        <f>G8+H8</f>
        <v/>
      </c>
      <c r="J8" s="2">
        <f>SUMIF(LEDGER!$A:$A,$B8,LEDGER!$G:$G)</f>
        <v/>
      </c>
      <c r="K8" s="2">
        <f>I8-J8</f>
        <v/>
      </c>
      <c r="L8" s="2">
        <f>J8+CD8</f>
        <v/>
      </c>
      <c r="M8" s="2">
        <f>I8-L8</f>
        <v/>
      </c>
      <c r="R8" s="2">
        <f>SUM(N8:Q8)</f>
        <v/>
      </c>
      <c r="W8" s="2">
        <f>SUM(S8:V8)</f>
        <v/>
      </c>
      <c r="AC8" s="2">
        <f>SUM(X8:AB8)</f>
        <v/>
      </c>
      <c r="AD8" s="2">
        <f>R8+W8+AC8</f>
        <v/>
      </c>
      <c r="AI8" s="2">
        <f>SUM(AE8:AH8)</f>
        <v/>
      </c>
      <c r="AN8" s="2">
        <f>SUM(AJ8:AM8)</f>
        <v/>
      </c>
      <c r="AT8" s="2">
        <f>SUM(AO8:AS8)</f>
        <v/>
      </c>
      <c r="AU8" s="2">
        <f>AI8+AN8+AT8</f>
        <v/>
      </c>
      <c r="AZ8" s="2">
        <f>SUM(AV8:AY8)</f>
        <v/>
      </c>
      <c r="BF8" s="2">
        <f>SUM(BA8:BE8)</f>
        <v/>
      </c>
      <c r="BK8" s="2">
        <f>SUM(BG8:BJ8)</f>
        <v/>
      </c>
      <c r="BL8" s="2">
        <f>AZ8+BF8+BK8</f>
        <v/>
      </c>
      <c r="BQ8" s="2">
        <f>SUM(BM8:BP8)</f>
        <v/>
      </c>
      <c r="BW8" s="2">
        <f>SUM(BR8:BV8)</f>
        <v/>
      </c>
      <c r="CB8" s="2">
        <f>SUM(BX8:CA8)</f>
        <v/>
      </c>
      <c r="CC8" s="2">
        <f>BQ8+BW8+CB8</f>
        <v/>
      </c>
      <c r="CD8" s="2">
        <f>AD8+AU8+BL8+CC8</f>
        <v/>
      </c>
    </row>
    <row r="9">
      <c r="A9" t="inlineStr">
        <is>
          <t>In process</t>
        </is>
      </c>
      <c r="B9" t="inlineStr">
        <is>
          <t>0.0002</t>
        </is>
      </c>
      <c r="C9" t="inlineStr">
        <is>
          <t>Property Acquisition</t>
        </is>
      </c>
      <c r="D9" t="inlineStr">
        <is>
          <t>Partnership</t>
        </is>
      </c>
      <c r="E9" t="inlineStr">
        <is>
          <t>0-Property Acquisition</t>
        </is>
      </c>
      <c r="F9" t="inlineStr">
        <is>
          <t>Phase 1</t>
        </is>
      </c>
      <c r="G9" s="2" t="n">
        <v>11250000</v>
      </c>
      <c r="H9" s="2" t="n">
        <v>0</v>
      </c>
      <c r="I9" s="2">
        <f>G9+H9</f>
        <v/>
      </c>
      <c r="J9" s="2">
        <f>SUMIF(LEDGER!$A:$A,$B9,LEDGER!$G:$G)</f>
        <v/>
      </c>
      <c r="K9" s="2">
        <f>I9-J9</f>
        <v/>
      </c>
      <c r="L9" s="2">
        <f>J9+CD9</f>
        <v/>
      </c>
      <c r="M9" s="2">
        <f>I9-L9</f>
        <v/>
      </c>
      <c r="R9" s="2">
        <f>SUM(N9:Q9)</f>
        <v/>
      </c>
      <c r="W9" s="2">
        <f>SUM(S9:V9)</f>
        <v/>
      </c>
      <c r="AC9" s="2">
        <f>SUM(X9:AB9)</f>
        <v/>
      </c>
      <c r="AD9" s="2">
        <f>R9+W9+AC9</f>
        <v/>
      </c>
      <c r="AI9" s="2">
        <f>SUM(AE9:AH9)</f>
        <v/>
      </c>
      <c r="AN9" s="2">
        <f>SUM(AJ9:AM9)</f>
        <v/>
      </c>
      <c r="AT9" s="2">
        <f>SUM(AO9:AS9)</f>
        <v/>
      </c>
      <c r="AU9" s="2">
        <f>AI9+AN9+AT9</f>
        <v/>
      </c>
      <c r="AZ9" s="2">
        <f>SUM(AV9:AY9)</f>
        <v/>
      </c>
      <c r="BF9" s="2">
        <f>SUM(BA9:BE9)</f>
        <v/>
      </c>
      <c r="BJ9" s="14" t="n">
        <v>1875000</v>
      </c>
      <c r="BK9" s="2">
        <f>SUM(BG9:BJ9)</f>
        <v/>
      </c>
      <c r="BL9" s="2">
        <f>AZ9+BF9+BK9</f>
        <v/>
      </c>
      <c r="BQ9" s="2">
        <f>SUM(BM9:BP9)</f>
        <v/>
      </c>
      <c r="BW9" s="2">
        <f>SUM(BR9:BV9)</f>
        <v/>
      </c>
      <c r="CB9" s="2">
        <f>SUM(BX9:CA9)</f>
        <v/>
      </c>
      <c r="CC9" s="2">
        <f>BQ9+BW9+CB9</f>
        <v/>
      </c>
      <c r="CD9" s="2">
        <f>AD9+AU9+BL9+CC9</f>
        <v/>
      </c>
    </row>
    <row r="10">
      <c r="A10" s="10" t="n"/>
      <c r="B10" s="10" t="n"/>
      <c r="C10" s="11" t="inlineStr">
        <is>
          <t>TOTAL 0-Property Acquisition</t>
        </is>
      </c>
      <c r="D10" s="10" t="n"/>
      <c r="E10" s="10" t="n"/>
      <c r="F10" s="10" t="n"/>
      <c r="G10" s="15">
        <f>G8+G9</f>
        <v/>
      </c>
      <c r="H10" s="15">
        <f>H8+H9</f>
        <v/>
      </c>
      <c r="I10" s="15">
        <f>I8+I9</f>
        <v/>
      </c>
      <c r="J10" s="15">
        <f>J8+J9</f>
        <v/>
      </c>
      <c r="K10" s="15">
        <f>K8+K9</f>
        <v/>
      </c>
      <c r="L10" s="15">
        <f>L8+L9</f>
        <v/>
      </c>
      <c r="M10" s="15">
        <f>M8+M9</f>
        <v/>
      </c>
      <c r="N10" s="10" t="n"/>
      <c r="O10" s="10" t="n"/>
      <c r="P10" s="10" t="n"/>
      <c r="Q10" s="10" t="n"/>
      <c r="R10" s="15">
        <f>R8+R9</f>
        <v/>
      </c>
      <c r="S10" s="10" t="n"/>
      <c r="T10" s="10" t="n"/>
      <c r="U10" s="10" t="n"/>
      <c r="V10" s="10" t="n"/>
      <c r="W10" s="15">
        <f>W8+W9</f>
        <v/>
      </c>
      <c r="X10" s="10" t="n"/>
      <c r="Y10" s="10" t="n"/>
      <c r="Z10" s="10" t="n"/>
      <c r="AA10" s="10" t="n"/>
      <c r="AB10" s="10" t="n"/>
      <c r="AC10" s="15">
        <f>AC8+AC9</f>
        <v/>
      </c>
      <c r="AD10" s="15">
        <f>AD8+AD9</f>
        <v/>
      </c>
      <c r="AE10" s="10" t="n"/>
      <c r="AF10" s="10" t="n"/>
      <c r="AG10" s="10" t="n"/>
      <c r="AH10" s="10" t="n"/>
      <c r="AI10" s="15">
        <f>AI8+AI9</f>
        <v/>
      </c>
      <c r="AJ10" s="10" t="n"/>
      <c r="AK10" s="10" t="n"/>
      <c r="AL10" s="10" t="n"/>
      <c r="AM10" s="10" t="n"/>
      <c r="AN10" s="15">
        <f>AN8+AN9</f>
        <v/>
      </c>
      <c r="AO10" s="10" t="n"/>
      <c r="AP10" s="10" t="n"/>
      <c r="AQ10" s="10" t="n"/>
      <c r="AR10" s="10" t="n"/>
      <c r="AS10" s="10" t="n"/>
      <c r="AT10" s="15">
        <f>AT8+AT9</f>
        <v/>
      </c>
      <c r="AU10" s="15">
        <f>AU8+AU9</f>
        <v/>
      </c>
      <c r="AV10" s="10" t="n"/>
      <c r="AW10" s="10" t="n"/>
      <c r="AX10" s="10" t="n"/>
      <c r="AY10" s="10" t="n"/>
      <c r="AZ10" s="15">
        <f>AZ8+AZ9</f>
        <v/>
      </c>
      <c r="BA10" s="10" t="n"/>
      <c r="BB10" s="10" t="n"/>
      <c r="BC10" s="10" t="n"/>
      <c r="BD10" s="10" t="n"/>
      <c r="BE10" s="10" t="n"/>
      <c r="BF10" s="15">
        <f>BF8+BF9</f>
        <v/>
      </c>
      <c r="BG10" s="10" t="n"/>
      <c r="BH10" s="10" t="n"/>
      <c r="BI10" s="10" t="n"/>
      <c r="BJ10" s="10" t="n"/>
      <c r="BK10" s="15">
        <f>BK8+BK9</f>
        <v/>
      </c>
      <c r="BL10" s="15">
        <f>BL8+BL9</f>
        <v/>
      </c>
      <c r="BM10" s="10" t="n"/>
      <c r="BN10" s="10" t="n"/>
      <c r="BO10" s="10" t="n"/>
      <c r="BP10" s="10" t="n"/>
      <c r="BQ10" s="15">
        <f>BQ8+BQ9</f>
        <v/>
      </c>
      <c r="BR10" s="10" t="n"/>
      <c r="BS10" s="10" t="n"/>
      <c r="BT10" s="10" t="n"/>
      <c r="BU10" s="10" t="n"/>
      <c r="BV10" s="10" t="n"/>
      <c r="BW10" s="15">
        <f>BW8+BW9</f>
        <v/>
      </c>
      <c r="BX10" s="10" t="n"/>
      <c r="BY10" s="10" t="n"/>
      <c r="BZ10" s="10" t="n"/>
      <c r="CA10" s="10" t="n"/>
      <c r="CB10" s="15">
        <f>CB8+CB9</f>
        <v/>
      </c>
      <c r="CC10" s="15">
        <f>CC8+CC9</f>
        <v/>
      </c>
      <c r="CD10" s="15">
        <f>CD8+CD9</f>
        <v/>
      </c>
    </row>
    <row r="11">
      <c r="A11" s="12" t="inlineStr">
        <is>
          <t>CFIA CONDO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D11" s="13" t="n"/>
    </row>
    <row r="12">
      <c r="A12" t="inlineStr">
        <is>
          <t>In process</t>
        </is>
      </c>
      <c r="B12" t="inlineStr">
        <is>
          <t>2.1.1</t>
        </is>
      </c>
      <c r="C12" t="inlineStr">
        <is>
          <t>Pre Workshop</t>
        </is>
      </c>
      <c r="D12" t="inlineStr">
        <is>
          <t>EDSA</t>
        </is>
      </c>
      <c r="E12" t="inlineStr">
        <is>
          <t>CFIA Condo</t>
        </is>
      </c>
      <c r="F12" t="inlineStr">
        <is>
          <t>DESIGN</t>
        </is>
      </c>
      <c r="G12" s="2" t="n">
        <v>14500</v>
      </c>
      <c r="H12" s="2" t="n">
        <v>0</v>
      </c>
      <c r="I12" s="2">
        <f>G12+H12</f>
        <v/>
      </c>
      <c r="J12" s="2">
        <f>SUMIF(LEDGER!$A:$A,$B12,LEDGER!$G:$G)</f>
        <v/>
      </c>
      <c r="K12" s="2">
        <f>I12-J12</f>
        <v/>
      </c>
      <c r="L12" s="2">
        <f>J12+CD12</f>
        <v/>
      </c>
      <c r="M12" s="2">
        <f>I12-L12</f>
        <v/>
      </c>
      <c r="R12" s="2">
        <f>SUM(N12:Q12)</f>
        <v/>
      </c>
      <c r="W12" s="2">
        <f>SUM(S12:V12)</f>
        <v/>
      </c>
      <c r="AC12" s="2">
        <f>SUM(X12:AB12)</f>
        <v/>
      </c>
      <c r="AD12" s="2">
        <f>R12+W12+AC12</f>
        <v/>
      </c>
      <c r="AE12" s="14" t="n">
        <v>14500</v>
      </c>
      <c r="AF12" s="16" t="n"/>
      <c r="AG12" s="16" t="n"/>
      <c r="AH12" s="16" t="n"/>
      <c r="AI12" s="2">
        <f>SUM(AE12:AH12)</f>
        <v/>
      </c>
      <c r="AJ12" s="16" t="n"/>
      <c r="AK12" s="16" t="n"/>
      <c r="AL12" s="16" t="n"/>
      <c r="AM12" s="16" t="n"/>
      <c r="AN12" s="2">
        <f>SUM(AJ12:AM12)</f>
        <v/>
      </c>
      <c r="AO12" s="16" t="n"/>
      <c r="AP12" s="16" t="n"/>
      <c r="AQ12" s="16" t="n"/>
      <c r="AR12" s="16" t="n"/>
      <c r="AS12" s="16" t="n"/>
      <c r="AT12" s="2">
        <f>SUM(AO12:AS12)</f>
        <v/>
      </c>
      <c r="AU12" s="2">
        <f>AI12+AN12+AT12</f>
        <v/>
      </c>
      <c r="AV12" s="16" t="n"/>
      <c r="AW12" s="16" t="n"/>
      <c r="AX12" s="16" t="n"/>
      <c r="AY12" s="16" t="n"/>
      <c r="AZ12" s="2">
        <f>SUM(AV12:AY12)</f>
        <v/>
      </c>
      <c r="BA12" s="16" t="n"/>
      <c r="BB12" s="16" t="n"/>
      <c r="BC12" s="16" t="n"/>
      <c r="BD12" s="16" t="n"/>
      <c r="BF12" s="2">
        <f>SUM(BA12:BE12)</f>
        <v/>
      </c>
      <c r="BK12" s="2">
        <f>SUM(BG12:BJ12)</f>
        <v/>
      </c>
      <c r="BL12" s="2">
        <f>AZ12+BF12+BK12</f>
        <v/>
      </c>
      <c r="BQ12" s="2">
        <f>SUM(BM12:BP12)</f>
        <v/>
      </c>
      <c r="BW12" s="2">
        <f>SUM(BR12:BV12)</f>
        <v/>
      </c>
      <c r="CB12" s="2">
        <f>SUM(BX12:CA12)</f>
        <v/>
      </c>
      <c r="CC12" s="2">
        <f>BQ12+BW12+CB12</f>
        <v/>
      </c>
      <c r="CD12" s="2">
        <f>AD12+AU12+BL12+CC12</f>
        <v/>
      </c>
    </row>
    <row r="13">
      <c r="A13" t="inlineStr">
        <is>
          <t>Approved</t>
        </is>
      </c>
      <c r="B13" t="inlineStr">
        <is>
          <t>2.1.2</t>
        </is>
      </c>
      <c r="C13" t="inlineStr">
        <is>
          <t>Workshop</t>
        </is>
      </c>
      <c r="D13" t="inlineStr">
        <is>
          <t>EDSA</t>
        </is>
      </c>
      <c r="E13" t="inlineStr">
        <is>
          <t>CFIA Condo</t>
        </is>
      </c>
      <c r="F13" t="inlineStr">
        <is>
          <t>DESIGN</t>
        </is>
      </c>
      <c r="G13" s="2" t="n">
        <v>24500</v>
      </c>
      <c r="H13" s="2" t="n">
        <v>29631.6</v>
      </c>
      <c r="I13" s="2">
        <f>G13+H13</f>
        <v/>
      </c>
      <c r="J13" s="2">
        <f>SUMIF(LEDGER!$A:$A,$B13,LEDGER!$G:$G)</f>
        <v/>
      </c>
      <c r="K13" s="2">
        <f>I13-J13</f>
        <v/>
      </c>
      <c r="L13" s="2">
        <f>J13+CD13</f>
        <v/>
      </c>
      <c r="M13" s="2">
        <f>I13-L13</f>
        <v/>
      </c>
      <c r="R13" s="2">
        <f>SUM(N13:Q13)</f>
        <v/>
      </c>
      <c r="W13" s="2">
        <f>SUM(S13:V13)</f>
        <v/>
      </c>
      <c r="AC13" s="2">
        <f>SUM(X13:AB13)</f>
        <v/>
      </c>
      <c r="AD13" s="2">
        <f>R13+W13+AC13</f>
        <v/>
      </c>
      <c r="AE13" s="16" t="n"/>
      <c r="AF13" s="16" t="n"/>
      <c r="AG13" s="16" t="n"/>
      <c r="AH13" s="16" t="n"/>
      <c r="AI13" s="2">
        <f>SUM(AE13:AH13)</f>
        <v/>
      </c>
      <c r="AJ13" s="16" t="n"/>
      <c r="AK13" s="16" t="n"/>
      <c r="AL13" s="16" t="n"/>
      <c r="AM13" s="16" t="n"/>
      <c r="AN13" s="2">
        <f>SUM(AJ13:AM13)</f>
        <v/>
      </c>
      <c r="AO13" s="16" t="n"/>
      <c r="AP13" s="16" t="n"/>
      <c r="AQ13" s="16" t="n"/>
      <c r="AR13" s="16" t="n"/>
      <c r="AS13" s="16" t="n"/>
      <c r="AT13" s="2">
        <f>SUM(AO13:AS13)</f>
        <v/>
      </c>
      <c r="AU13" s="2">
        <f>AI13+AN13+AT13</f>
        <v/>
      </c>
      <c r="AV13" s="16" t="n"/>
      <c r="AW13" s="16" t="n"/>
      <c r="AX13" s="16" t="n"/>
      <c r="AY13" s="16" t="n"/>
      <c r="AZ13" s="2">
        <f>SUM(AV13:AY13)</f>
        <v/>
      </c>
      <c r="BA13" s="16" t="n"/>
      <c r="BB13" s="16" t="n"/>
      <c r="BC13" s="16" t="n"/>
      <c r="BD13" s="16" t="n"/>
      <c r="BF13" s="2">
        <f>SUM(BA13:BE13)</f>
        <v/>
      </c>
      <c r="BK13" s="2">
        <f>SUM(BG13:BJ13)</f>
        <v/>
      </c>
      <c r="BL13" s="2">
        <f>AZ13+BF13+BK13</f>
        <v/>
      </c>
      <c r="BQ13" s="2">
        <f>SUM(BM13:BP13)</f>
        <v/>
      </c>
      <c r="BW13" s="2">
        <f>SUM(BR13:BV13)</f>
        <v/>
      </c>
      <c r="CB13" s="2">
        <f>SUM(BX13:CA13)</f>
        <v/>
      </c>
      <c r="CC13" s="2">
        <f>BQ13+BW13+CB13</f>
        <v/>
      </c>
      <c r="CD13" s="2">
        <f>AD13+AU13+BL13+CC13</f>
        <v/>
      </c>
    </row>
    <row r="14">
      <c r="A14" t="inlineStr">
        <is>
          <t>Approved</t>
        </is>
      </c>
      <c r="B14" t="inlineStr">
        <is>
          <t>2.1.3</t>
        </is>
      </c>
      <c r="C14" t="inlineStr">
        <is>
          <t>Post Workshop / Conceptual Enlargements</t>
        </is>
      </c>
      <c r="D14" t="inlineStr">
        <is>
          <t>EDSA</t>
        </is>
      </c>
      <c r="E14" t="inlineStr">
        <is>
          <t>CFIA Condo</t>
        </is>
      </c>
      <c r="F14" t="inlineStr">
        <is>
          <t>DESIGN</t>
        </is>
      </c>
      <c r="G14" s="2" t="n">
        <v>48500</v>
      </c>
      <c r="H14" s="2" t="n">
        <v>0</v>
      </c>
      <c r="I14" s="2">
        <f>G14+H14</f>
        <v/>
      </c>
      <c r="J14" s="2">
        <f>SUMIF(LEDGER!$A:$A,$B14,LEDGER!$G:$G)</f>
        <v/>
      </c>
      <c r="K14" s="2">
        <f>I14-J14</f>
        <v/>
      </c>
      <c r="L14" s="2">
        <f>J14+CD14</f>
        <v/>
      </c>
      <c r="M14" s="2">
        <f>I14-L14</f>
        <v/>
      </c>
      <c r="R14" s="2">
        <f>SUM(N14:Q14)</f>
        <v/>
      </c>
      <c r="W14" s="2">
        <f>SUM(S14:V14)</f>
        <v/>
      </c>
      <c r="AC14" s="2">
        <f>SUM(X14:AB14)</f>
        <v/>
      </c>
      <c r="AD14" s="2">
        <f>R14+W14+AC14</f>
        <v/>
      </c>
      <c r="AE14" s="16" t="n"/>
      <c r="AF14" s="16" t="n"/>
      <c r="AG14" s="16" t="n"/>
      <c r="AH14" s="16" t="n"/>
      <c r="AI14" s="2">
        <f>SUM(AE14:AH14)</f>
        <v/>
      </c>
      <c r="AJ14" s="16" t="n"/>
      <c r="AK14" s="16" t="n"/>
      <c r="AL14" s="16" t="n"/>
      <c r="AM14" s="16" t="n"/>
      <c r="AN14" s="2">
        <f>SUM(AJ14:AM14)</f>
        <v/>
      </c>
      <c r="AO14" s="17" t="n">
        <v>41000</v>
      </c>
      <c r="AP14" s="16" t="n"/>
      <c r="AQ14" s="16" t="n"/>
      <c r="AR14" s="16" t="n"/>
      <c r="AS14" s="16" t="n"/>
      <c r="AT14" s="2">
        <f>SUM(AO14:AS14)</f>
        <v/>
      </c>
      <c r="AU14" s="2">
        <f>AI14+AN14+AT14</f>
        <v/>
      </c>
      <c r="AV14" s="16" t="n"/>
      <c r="AW14" s="16" t="n"/>
      <c r="AX14" s="16" t="n"/>
      <c r="AY14" s="16" t="n"/>
      <c r="AZ14" s="2">
        <f>SUM(AV14:AY14)</f>
        <v/>
      </c>
      <c r="BA14" s="16" t="n"/>
      <c r="BB14" s="16" t="n"/>
      <c r="BC14" s="16" t="n"/>
      <c r="BD14" s="16" t="n"/>
      <c r="BF14" s="2">
        <f>SUM(BA14:BE14)</f>
        <v/>
      </c>
      <c r="BK14" s="2">
        <f>SUM(BG14:BJ14)</f>
        <v/>
      </c>
      <c r="BL14" s="2">
        <f>AZ14+BF14+BK14</f>
        <v/>
      </c>
      <c r="BQ14" s="2">
        <f>SUM(BM14:BP14)</f>
        <v/>
      </c>
      <c r="BW14" s="2">
        <f>SUM(BR14:BV14)</f>
        <v/>
      </c>
      <c r="CB14" s="2">
        <f>SUM(BX14:CA14)</f>
        <v/>
      </c>
      <c r="CC14" s="2">
        <f>BQ14+BW14+CB14</f>
        <v/>
      </c>
      <c r="CD14" s="2">
        <f>AD14+AU14+BL14+CC14</f>
        <v/>
      </c>
    </row>
    <row r="15">
      <c r="A15" t="inlineStr">
        <is>
          <t>Approved</t>
        </is>
      </c>
      <c r="B15" t="inlineStr">
        <is>
          <t>2.1.4</t>
        </is>
      </c>
      <c r="C15" t="inlineStr">
        <is>
          <t>Travel Expenses MP</t>
        </is>
      </c>
      <c r="D15" t="inlineStr">
        <is>
          <t>EDSA</t>
        </is>
      </c>
      <c r="E15" t="inlineStr">
        <is>
          <t>CFIA Condo</t>
        </is>
      </c>
      <c r="F15" t="inlineStr">
        <is>
          <t>DESIGN</t>
        </is>
      </c>
      <c r="G15" s="2" t="n">
        <v>5000</v>
      </c>
      <c r="H15" s="2" t="n">
        <v>0</v>
      </c>
      <c r="I15" s="2">
        <f>G15+H15</f>
        <v/>
      </c>
      <c r="J15" s="2">
        <f>SUMIF(LEDGER!$A:$A,$B15,LEDGER!$G:$G)</f>
        <v/>
      </c>
      <c r="K15" s="2">
        <f>I15-J15</f>
        <v/>
      </c>
      <c r="L15" s="2">
        <f>J15+CD15</f>
        <v/>
      </c>
      <c r="M15" s="2">
        <f>I15-L15</f>
        <v/>
      </c>
      <c r="R15" s="2">
        <f>SUM(N15:Q15)</f>
        <v/>
      </c>
      <c r="W15" s="2">
        <f>SUM(S15:V15)</f>
        <v/>
      </c>
      <c r="AC15" s="2">
        <f>SUM(X15:AB15)</f>
        <v/>
      </c>
      <c r="AD15" s="2">
        <f>R15+W15+AC15</f>
        <v/>
      </c>
      <c r="AE15" s="16" t="n"/>
      <c r="AF15" s="16" t="n"/>
      <c r="AG15" s="16" t="n"/>
      <c r="AH15" s="16" t="n"/>
      <c r="AI15" s="2">
        <f>SUM(AE15:AH15)</f>
        <v/>
      </c>
      <c r="AJ15" s="16" t="n"/>
      <c r="AK15" s="16" t="n"/>
      <c r="AL15" s="16" t="n"/>
      <c r="AM15" s="16" t="n"/>
      <c r="AN15" s="2">
        <f>SUM(AJ15:AM15)</f>
        <v/>
      </c>
      <c r="AO15" s="16" t="n"/>
      <c r="AP15" s="16" t="n"/>
      <c r="AQ15" s="16" t="n"/>
      <c r="AR15" s="16" t="n"/>
      <c r="AS15" s="16" t="n"/>
      <c r="AT15" s="2">
        <f>SUM(AO15:AS15)</f>
        <v/>
      </c>
      <c r="AU15" s="2">
        <f>AI15+AN15+AT15</f>
        <v/>
      </c>
      <c r="AV15" s="16" t="n"/>
      <c r="AW15" s="16" t="n"/>
      <c r="AX15" s="16" t="n"/>
      <c r="AY15" s="16" t="n"/>
      <c r="AZ15" s="2">
        <f>SUM(AV15:AY15)</f>
        <v/>
      </c>
      <c r="BA15" s="17" t="n">
        <v>5000</v>
      </c>
      <c r="BB15" s="16" t="n"/>
      <c r="BC15" s="16" t="n"/>
      <c r="BD15" s="16" t="n"/>
      <c r="BF15" s="2">
        <f>SUM(BA15:BE15)</f>
        <v/>
      </c>
      <c r="BK15" s="2">
        <f>SUM(BG15:BJ15)</f>
        <v/>
      </c>
      <c r="BL15" s="2">
        <f>AZ15+BF15+BK15</f>
        <v/>
      </c>
      <c r="BQ15" s="2">
        <f>SUM(BM15:BP15)</f>
        <v/>
      </c>
      <c r="BW15" s="2">
        <f>SUM(BR15:BV15)</f>
        <v/>
      </c>
      <c r="CB15" s="2">
        <f>SUM(BX15:CA15)</f>
        <v/>
      </c>
      <c r="CC15" s="2">
        <f>BQ15+BW15+CB15</f>
        <v/>
      </c>
      <c r="CD15" s="2">
        <f>AD15+AU15+BL15+CC15</f>
        <v/>
      </c>
    </row>
    <row r="16">
      <c r="A16" t="inlineStr">
        <is>
          <t>Approved</t>
        </is>
      </c>
      <c r="B16" t="inlineStr">
        <is>
          <t>2.2</t>
        </is>
      </c>
      <c r="C16" t="inlineStr">
        <is>
          <t>Schematic Design</t>
        </is>
      </c>
      <c r="D16" t="inlineStr">
        <is>
          <t>EDSA</t>
        </is>
      </c>
      <c r="E16" t="inlineStr">
        <is>
          <t>CFIA Condo</t>
        </is>
      </c>
      <c r="F16" t="inlineStr">
        <is>
          <t>DESIGN</t>
        </is>
      </c>
      <c r="G16" s="2" t="n">
        <v>100000</v>
      </c>
      <c r="H16" s="2" t="n">
        <v>0</v>
      </c>
      <c r="I16" s="2">
        <f>G16+H16</f>
        <v/>
      </c>
      <c r="J16" s="2">
        <f>SUMIF(LEDGER!$A:$A,$B16,LEDGER!$G:$G)</f>
        <v/>
      </c>
      <c r="K16" s="2">
        <f>I16-J16</f>
        <v/>
      </c>
      <c r="L16" s="2">
        <f>J16+CD16</f>
        <v/>
      </c>
      <c r="M16" s="2">
        <f>I16-L16</f>
        <v/>
      </c>
      <c r="R16" s="2">
        <f>SUM(N16:Q16)</f>
        <v/>
      </c>
      <c r="W16" s="2">
        <f>SUM(S16:V16)</f>
        <v/>
      </c>
      <c r="AC16" s="2">
        <f>SUM(X16:AB16)</f>
        <v/>
      </c>
      <c r="AD16" s="2">
        <f>R16+W16+AC16</f>
        <v/>
      </c>
      <c r="AE16" s="16" t="n"/>
      <c r="AF16" s="16" t="n"/>
      <c r="AG16" s="16" t="n"/>
      <c r="AH16" s="16" t="n"/>
      <c r="AI16" s="2">
        <f>SUM(AE16:AH16)</f>
        <v/>
      </c>
      <c r="AJ16" s="16" t="n"/>
      <c r="AK16" s="16" t="n"/>
      <c r="AL16" s="16" t="n"/>
      <c r="AM16" s="16" t="n"/>
      <c r="AN16" s="2">
        <f>SUM(AJ16:AM16)</f>
        <v/>
      </c>
      <c r="AO16" s="16" t="n"/>
      <c r="AP16" s="16" t="n"/>
      <c r="AQ16" s="16" t="n"/>
      <c r="AR16" s="16" t="n"/>
      <c r="AS16" s="16" t="n"/>
      <c r="AT16" s="2">
        <f>SUM(AO16:AS16)</f>
        <v/>
      </c>
      <c r="AU16" s="2">
        <f>AI16+AN16+AT16</f>
        <v/>
      </c>
      <c r="AV16" s="16" t="n"/>
      <c r="AW16" s="16" t="n"/>
      <c r="AX16" s="16" t="n"/>
      <c r="AY16" s="16" t="n"/>
      <c r="AZ16" s="2">
        <f>SUM(AV16:AY16)</f>
        <v/>
      </c>
      <c r="BA16" s="16" t="n"/>
      <c r="BB16" s="16" t="n"/>
      <c r="BC16" s="16" t="n"/>
      <c r="BD16" s="16" t="n"/>
      <c r="BF16" s="2">
        <f>SUM(BA16:BE16)</f>
        <v/>
      </c>
      <c r="BG16" s="17" t="n">
        <v>25000</v>
      </c>
      <c r="BH16" s="17" t="n">
        <v>25000</v>
      </c>
      <c r="BI16" s="17" t="n">
        <v>25000</v>
      </c>
      <c r="BJ16" s="17" t="n">
        <v>25000</v>
      </c>
      <c r="BK16" s="2">
        <f>SUM(BG16:BJ16)</f>
        <v/>
      </c>
      <c r="BL16" s="2">
        <f>AZ16+BF16+BK16</f>
        <v/>
      </c>
      <c r="BQ16" s="2">
        <f>SUM(BM16:BP16)</f>
        <v/>
      </c>
      <c r="BW16" s="2">
        <f>SUM(BR16:BV16)</f>
        <v/>
      </c>
      <c r="CB16" s="2">
        <f>SUM(BX16:CA16)</f>
        <v/>
      </c>
      <c r="CC16" s="2">
        <f>BQ16+BW16+CB16</f>
        <v/>
      </c>
      <c r="CD16" s="2">
        <f>AD16+AU16+BL16+CC16</f>
        <v/>
      </c>
    </row>
    <row r="17">
      <c r="A17" s="10" t="n"/>
      <c r="B17" s="10" t="n"/>
      <c r="C17" s="11" t="inlineStr">
        <is>
          <t>TOTAL CFIA Condo</t>
        </is>
      </c>
      <c r="D17" s="10" t="n"/>
      <c r="E17" s="10" t="n"/>
      <c r="F17" s="10" t="n"/>
      <c r="G17" s="15">
        <f>G12+G13+G14+G15+G16</f>
        <v/>
      </c>
      <c r="H17" s="15">
        <f>H12+H13+H14+H15+H16</f>
        <v/>
      </c>
      <c r="I17" s="15">
        <f>I12+I13+I14+I15+I16</f>
        <v/>
      </c>
      <c r="J17" s="15">
        <f>J12+J13+J14+J15+J16</f>
        <v/>
      </c>
      <c r="K17" s="15">
        <f>K12+K13+K14+K15+K16</f>
        <v/>
      </c>
      <c r="L17" s="15">
        <f>L12+L13+L14+L15+L16</f>
        <v/>
      </c>
      <c r="M17" s="15">
        <f>M12+M13+M14+M15+M16</f>
        <v/>
      </c>
      <c r="N17" s="10" t="n"/>
      <c r="O17" s="10" t="n"/>
      <c r="P17" s="10" t="n"/>
      <c r="Q17" s="10" t="n"/>
      <c r="R17" s="15">
        <f>R12+R13+R14+R15+R16</f>
        <v/>
      </c>
      <c r="S17" s="10" t="n"/>
      <c r="T17" s="10" t="n"/>
      <c r="U17" s="10" t="n"/>
      <c r="V17" s="10" t="n"/>
      <c r="W17" s="15">
        <f>W12+W13+W14+W15+W16</f>
        <v/>
      </c>
      <c r="X17" s="10" t="n"/>
      <c r="Y17" s="10" t="n"/>
      <c r="Z17" s="10" t="n"/>
      <c r="AA17" s="10" t="n"/>
      <c r="AB17" s="10" t="n"/>
      <c r="AC17" s="15">
        <f>AC12+AC13+AC14+AC15+AC16</f>
        <v/>
      </c>
      <c r="AD17" s="15">
        <f>AD12+AD13+AD14+AD15+AD16</f>
        <v/>
      </c>
      <c r="AE17" s="10" t="n"/>
      <c r="AF17" s="10" t="n"/>
      <c r="AG17" s="10" t="n"/>
      <c r="AH17" s="10" t="n"/>
      <c r="AI17" s="15">
        <f>AI12+AI13+AI14+AI15+AI16</f>
        <v/>
      </c>
      <c r="AJ17" s="10" t="n"/>
      <c r="AK17" s="10" t="n"/>
      <c r="AL17" s="10" t="n"/>
      <c r="AM17" s="10" t="n"/>
      <c r="AN17" s="15">
        <f>AN12+AN13+AN14+AN15+AN16</f>
        <v/>
      </c>
      <c r="AO17" s="10" t="n"/>
      <c r="AP17" s="10" t="n"/>
      <c r="AQ17" s="10" t="n"/>
      <c r="AR17" s="10" t="n"/>
      <c r="AS17" s="10" t="n"/>
      <c r="AT17" s="15">
        <f>AT12+AT13+AT14+AT15+AT16</f>
        <v/>
      </c>
      <c r="AU17" s="15">
        <f>AU12+AU13+AU14+AU15+AU16</f>
        <v/>
      </c>
      <c r="AV17" s="10" t="n"/>
      <c r="AW17" s="10" t="n"/>
      <c r="AX17" s="10" t="n"/>
      <c r="AY17" s="10" t="n"/>
      <c r="AZ17" s="15">
        <f>AZ12+AZ13+AZ14+AZ15+AZ16</f>
        <v/>
      </c>
      <c r="BA17" s="10" t="n"/>
      <c r="BB17" s="10" t="n"/>
      <c r="BC17" s="10" t="n"/>
      <c r="BD17" s="10" t="n"/>
      <c r="BE17" s="10" t="n"/>
      <c r="BF17" s="15">
        <f>BF12+BF13+BF14+BF15+BF16</f>
        <v/>
      </c>
      <c r="BG17" s="10" t="n"/>
      <c r="BH17" s="10" t="n"/>
      <c r="BI17" s="10" t="n"/>
      <c r="BJ17" s="10" t="n"/>
      <c r="BK17" s="15">
        <f>BK12+BK13+BK14+BK15+BK16</f>
        <v/>
      </c>
      <c r="BL17" s="15">
        <f>BL12+BL13+BL14+BL15+BL16</f>
        <v/>
      </c>
      <c r="BM17" s="10" t="n"/>
      <c r="BN17" s="10" t="n"/>
      <c r="BO17" s="10" t="n"/>
      <c r="BP17" s="10" t="n"/>
      <c r="BQ17" s="15">
        <f>BQ12+BQ13+BQ14+BQ15+BQ16</f>
        <v/>
      </c>
      <c r="BR17" s="10" t="n"/>
      <c r="BS17" s="10" t="n"/>
      <c r="BT17" s="10" t="n"/>
      <c r="BU17" s="10" t="n"/>
      <c r="BV17" s="10" t="n"/>
      <c r="BW17" s="15">
        <f>BW12+BW13+BW14+BW15+BW16</f>
        <v/>
      </c>
      <c r="BX17" s="10" t="n"/>
      <c r="BY17" s="10" t="n"/>
      <c r="BZ17" s="10" t="n"/>
      <c r="CA17" s="10" t="n"/>
      <c r="CB17" s="15">
        <f>CB12+CB13+CB14+CB15+CB16</f>
        <v/>
      </c>
      <c r="CC17" s="15">
        <f>CC12+CC13+CC14+CC15+CC16</f>
        <v/>
      </c>
      <c r="CD17" s="15">
        <f>CD12+CD13+CD14+CD15+CD16</f>
        <v/>
      </c>
    </row>
    <row r="18">
      <c r="A18" s="12" t="inlineStr">
        <is>
          <t>CFIA INFRASTRUCTURE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  <c r="BR18" s="13" t="n"/>
      <c r="BS18" s="13" t="n"/>
      <c r="BT18" s="13" t="n"/>
      <c r="BU18" s="13" t="n"/>
      <c r="BV18" s="13" t="n"/>
      <c r="BW18" s="13" t="n"/>
      <c r="BX18" s="13" t="n"/>
      <c r="BY18" s="13" t="n"/>
      <c r="BZ18" s="13" t="n"/>
      <c r="CA18" s="13" t="n"/>
      <c r="CB18" s="13" t="n"/>
      <c r="CC18" s="13" t="n"/>
      <c r="CD18" s="13" t="n"/>
    </row>
    <row r="19">
      <c r="A19" t="inlineStr">
        <is>
          <t>In process</t>
        </is>
      </c>
      <c r="B19" t="inlineStr">
        <is>
          <t>9.1.1</t>
        </is>
      </c>
      <c r="C19" t="inlineStr">
        <is>
          <t>Phase 1/2/3 Pre Consultations</t>
        </is>
      </c>
      <c r="D19" t="inlineStr">
        <is>
          <t>DEHC</t>
        </is>
      </c>
      <c r="E19" t="inlineStr">
        <is>
          <t>CFIA Infrastructure</t>
        </is>
      </c>
      <c r="F19" t="inlineStr">
        <is>
          <t>Phase 1</t>
        </is>
      </c>
      <c r="G19" s="2" t="n">
        <v>0</v>
      </c>
      <c r="H19" s="2" t="n">
        <v>5423.999999999999</v>
      </c>
      <c r="I19" s="2">
        <f>G19+H19</f>
        <v/>
      </c>
      <c r="J19" s="2">
        <f>SUMIF(LEDGER!$A:$A,$B19,LEDGER!$G:$G)</f>
        <v/>
      </c>
      <c r="K19" s="2">
        <f>I19-J19</f>
        <v/>
      </c>
      <c r="L19" s="2">
        <f>J19+CD19</f>
        <v/>
      </c>
      <c r="M19" s="2">
        <f>I19-L19</f>
        <v/>
      </c>
      <c r="R19" s="2">
        <f>SUM(N19:Q19)</f>
        <v/>
      </c>
      <c r="S19" s="14" t="n">
        <v>-1921</v>
      </c>
      <c r="W19" s="2">
        <f>SUM(S19:V19)</f>
        <v/>
      </c>
      <c r="AC19" s="2">
        <f>SUM(X19:AB19)</f>
        <v/>
      </c>
      <c r="AD19" s="2">
        <f>R19+W19+AC19</f>
        <v/>
      </c>
      <c r="AI19" s="2">
        <f>SUM(AE19:AH19)</f>
        <v/>
      </c>
      <c r="AK19" s="16" t="n"/>
      <c r="AL19" s="16" t="n"/>
      <c r="AM19" s="16" t="n"/>
      <c r="AN19" s="2">
        <f>SUM(AJ19:AM19)</f>
        <v/>
      </c>
      <c r="AO19" s="16" t="n"/>
      <c r="AP19" s="16" t="n"/>
      <c r="AQ19" s="16" t="n"/>
      <c r="AR19" s="16" t="n"/>
      <c r="AS19" s="16" t="n"/>
      <c r="AT19" s="2">
        <f>SUM(AO19:AS19)</f>
        <v/>
      </c>
      <c r="AU19" s="2">
        <f>AI19+AN19+AT19</f>
        <v/>
      </c>
      <c r="AZ19" s="2">
        <f>SUM(AV19:AY19)</f>
        <v/>
      </c>
      <c r="BF19" s="2">
        <f>SUM(BA19:BE19)</f>
        <v/>
      </c>
      <c r="BK19" s="2">
        <f>SUM(BG19:BJ19)</f>
        <v/>
      </c>
      <c r="BL19" s="2">
        <f>AZ19+BF19+BK19</f>
        <v/>
      </c>
      <c r="BQ19" s="2">
        <f>SUM(BM19:BP19)</f>
        <v/>
      </c>
      <c r="BW19" s="2">
        <f>SUM(BR19:BV19)</f>
        <v/>
      </c>
      <c r="CB19" s="2">
        <f>SUM(BX19:CA19)</f>
        <v/>
      </c>
      <c r="CC19" s="2">
        <f>BQ19+BW19+CB19</f>
        <v/>
      </c>
      <c r="CD19" s="2">
        <f>AD19+AU19+BL19+CC19</f>
        <v/>
      </c>
    </row>
    <row r="20">
      <c r="A20" t="inlineStr">
        <is>
          <t>In process</t>
        </is>
      </c>
      <c r="B20" t="inlineStr">
        <is>
          <t>9.1.2</t>
        </is>
      </c>
      <c r="C20" t="inlineStr">
        <is>
          <t>Phase 1/2/3 Discharge permit MOPT and Municipality</t>
        </is>
      </c>
      <c r="D20" t="inlineStr">
        <is>
          <t>DEHC</t>
        </is>
      </c>
      <c r="E20" t="inlineStr">
        <is>
          <t>CFIA Infrastructure</t>
        </is>
      </c>
      <c r="F20" t="inlineStr">
        <is>
          <t>Phase 2</t>
        </is>
      </c>
      <c r="G20" s="2" t="n">
        <v>0</v>
      </c>
      <c r="H20" s="2" t="n">
        <v>1356</v>
      </c>
      <c r="I20" s="2">
        <f>G20+H20</f>
        <v/>
      </c>
      <c r="J20" s="2">
        <f>SUMIF(LEDGER!$A:$A,$B20,LEDGER!$G:$G)</f>
        <v/>
      </c>
      <c r="K20" s="2">
        <f>I20-J20</f>
        <v/>
      </c>
      <c r="L20" s="2">
        <f>J20+CD20</f>
        <v/>
      </c>
      <c r="M20" s="2">
        <f>I20-L20</f>
        <v/>
      </c>
      <c r="R20" s="2">
        <f>SUM(N20:Q20)</f>
        <v/>
      </c>
      <c r="S20" s="14" t="n">
        <v>-678</v>
      </c>
      <c r="W20" s="2">
        <f>SUM(S20:V20)</f>
        <v/>
      </c>
      <c r="AC20" s="2">
        <f>SUM(X20:AB20)</f>
        <v/>
      </c>
      <c r="AD20" s="2">
        <f>R20+W20+AC20</f>
        <v/>
      </c>
      <c r="AI20" s="2">
        <f>SUM(AE20:AH20)</f>
        <v/>
      </c>
      <c r="AK20" s="16" t="n"/>
      <c r="AL20" s="16" t="n"/>
      <c r="AM20" s="16" t="n"/>
      <c r="AN20" s="2">
        <f>SUM(AJ20:AM20)</f>
        <v/>
      </c>
      <c r="AO20" s="16" t="n"/>
      <c r="AP20" s="16" t="n"/>
      <c r="AQ20" s="16" t="n"/>
      <c r="AR20" s="16" t="n"/>
      <c r="AS20" s="16" t="n"/>
      <c r="AT20" s="2">
        <f>SUM(AO20:AS20)</f>
        <v/>
      </c>
      <c r="AU20" s="2">
        <f>AI20+AN20+AT20</f>
        <v/>
      </c>
      <c r="AV20" s="16" t="n"/>
      <c r="AZ20" s="2">
        <f>SUM(AV20:AY20)</f>
        <v/>
      </c>
      <c r="BF20" s="2">
        <f>SUM(BA20:BE20)</f>
        <v/>
      </c>
      <c r="BK20" s="2">
        <f>SUM(BG20:BJ20)</f>
        <v/>
      </c>
      <c r="BL20" s="2">
        <f>AZ20+BF20+BK20</f>
        <v/>
      </c>
      <c r="BQ20" s="2">
        <f>SUM(BM20:BP20)</f>
        <v/>
      </c>
      <c r="BW20" s="2">
        <f>SUM(BR20:BV20)</f>
        <v/>
      </c>
      <c r="CB20" s="2">
        <f>SUM(BX20:CA20)</f>
        <v/>
      </c>
      <c r="CC20" s="2">
        <f>BQ20+BW20+CB20</f>
        <v/>
      </c>
      <c r="CD20" s="2">
        <f>AD20+AU20+BL20+CC20</f>
        <v/>
      </c>
    </row>
    <row r="21">
      <c r="A21" t="inlineStr">
        <is>
          <t>Approved</t>
        </is>
      </c>
      <c r="B21" t="inlineStr">
        <is>
          <t>9.1.3</t>
        </is>
      </c>
      <c r="C21" t="inlineStr">
        <is>
          <t>Phase 1 Permit (Includes topo of the existing road)</t>
        </is>
      </c>
      <c r="D21" t="inlineStr">
        <is>
          <t>DEHC</t>
        </is>
      </c>
      <c r="E21" t="inlineStr">
        <is>
          <t>CFIA Infrastructure</t>
        </is>
      </c>
      <c r="F21" t="inlineStr">
        <is>
          <t>Phase 1</t>
        </is>
      </c>
      <c r="G21" s="2" t="n">
        <v>0</v>
      </c>
      <c r="H21" s="2" t="n">
        <v>16385</v>
      </c>
      <c r="I21" s="2">
        <f>G21+H21</f>
        <v/>
      </c>
      <c r="J21" s="2">
        <f>SUMIF(LEDGER!$A:$A,$B21,LEDGER!$G:$G)</f>
        <v/>
      </c>
      <c r="K21" s="2">
        <f>I21-J21</f>
        <v/>
      </c>
      <c r="L21" s="2">
        <f>J21+CD21</f>
        <v/>
      </c>
      <c r="M21" s="2">
        <f>I21-L21</f>
        <v/>
      </c>
      <c r="R21" s="2">
        <f>SUM(N21:Q21)</f>
        <v/>
      </c>
      <c r="W21" s="2">
        <f>SUM(S21:V21)</f>
        <v/>
      </c>
      <c r="AC21" s="2">
        <f>SUM(X21:AB21)</f>
        <v/>
      </c>
      <c r="AD21" s="2">
        <f>R21+W21+AC21</f>
        <v/>
      </c>
      <c r="AI21" s="2">
        <f>SUM(AE21:AH21)</f>
        <v/>
      </c>
      <c r="AK21" s="16" t="n"/>
      <c r="AL21" s="16" t="n"/>
      <c r="AM21" s="16" t="n"/>
      <c r="AN21" s="2">
        <f>SUM(AJ21:AM21)</f>
        <v/>
      </c>
      <c r="AO21" s="16" t="n"/>
      <c r="AP21" s="16" t="n"/>
      <c r="AQ21" s="16" t="n"/>
      <c r="AR21" s="16" t="n"/>
      <c r="AS21" s="16" t="n"/>
      <c r="AT21" s="2">
        <f>SUM(AO21:AS21)</f>
        <v/>
      </c>
      <c r="AU21" s="2">
        <f>AI21+AN21+AT21</f>
        <v/>
      </c>
      <c r="AZ21" s="2">
        <f>SUM(AV21:AY21)</f>
        <v/>
      </c>
      <c r="BF21" s="2">
        <f>SUM(BA21:BE21)</f>
        <v/>
      </c>
      <c r="BK21" s="2">
        <f>SUM(BG21:BJ21)</f>
        <v/>
      </c>
      <c r="BL21" s="2">
        <f>AZ21+BF21+BK21</f>
        <v/>
      </c>
      <c r="BQ21" s="2">
        <f>SUM(BM21:BP21)</f>
        <v/>
      </c>
      <c r="BW21" s="2">
        <f>SUM(BR21:BV21)</f>
        <v/>
      </c>
      <c r="CB21" s="2">
        <f>SUM(BX21:CA21)</f>
        <v/>
      </c>
      <c r="CC21" s="2">
        <f>BQ21+BW21+CB21</f>
        <v/>
      </c>
      <c r="CD21" s="2">
        <f>AD21+AU21+BL21+CC21</f>
        <v/>
      </c>
    </row>
    <row r="22">
      <c r="A22" t="inlineStr">
        <is>
          <t>Approved</t>
        </is>
      </c>
      <c r="B22" t="inlineStr">
        <is>
          <t>9.2.1</t>
        </is>
      </c>
      <c r="C22" t="inlineStr">
        <is>
          <t>Phase 2 Permit</t>
        </is>
      </c>
      <c r="D22" t="inlineStr">
        <is>
          <t>DEHC</t>
        </is>
      </c>
      <c r="E22" t="inlineStr">
        <is>
          <t>CFIA Infrastructure</t>
        </is>
      </c>
      <c r="F22" t="inlineStr">
        <is>
          <t>Phase 2</t>
        </is>
      </c>
      <c r="G22" s="2" t="n">
        <v>0</v>
      </c>
      <c r="H22" s="2" t="n">
        <v>8814</v>
      </c>
      <c r="I22" s="2">
        <f>G22+H22</f>
        <v/>
      </c>
      <c r="J22" s="2">
        <f>SUMIF(LEDGER!$A:$A,$B22,LEDGER!$G:$G)</f>
        <v/>
      </c>
      <c r="K22" s="2">
        <f>I22-J22</f>
        <v/>
      </c>
      <c r="L22" s="2">
        <f>J22+CD22</f>
        <v/>
      </c>
      <c r="M22" s="2">
        <f>I22-L22</f>
        <v/>
      </c>
      <c r="R22" s="2">
        <f>SUM(N22:Q22)</f>
        <v/>
      </c>
      <c r="W22" s="2">
        <f>SUM(S22:V22)</f>
        <v/>
      </c>
      <c r="AA22" s="17" t="n">
        <v>8814</v>
      </c>
      <c r="AC22" s="2">
        <f>SUM(X22:AB22)</f>
        <v/>
      </c>
      <c r="AD22" s="2">
        <f>R22+W22+AC22</f>
        <v/>
      </c>
      <c r="AI22" s="2">
        <f>SUM(AE22:AH22)</f>
        <v/>
      </c>
      <c r="AK22" s="16" t="n"/>
      <c r="AL22" s="16" t="n"/>
      <c r="AM22" s="16" t="n"/>
      <c r="AN22" s="2">
        <f>SUM(AJ22:AM22)</f>
        <v/>
      </c>
      <c r="AO22" s="16" t="n"/>
      <c r="AP22" s="16" t="n"/>
      <c r="AQ22" s="16" t="n"/>
      <c r="AR22" s="16" t="n"/>
      <c r="AS22" s="16" t="n"/>
      <c r="AT22" s="2">
        <f>SUM(AO22:AS22)</f>
        <v/>
      </c>
      <c r="AU22" s="2">
        <f>AI22+AN22+AT22</f>
        <v/>
      </c>
      <c r="AV22" s="16" t="n"/>
      <c r="AZ22" s="2">
        <f>SUM(AV22:AY22)</f>
        <v/>
      </c>
      <c r="BF22" s="2">
        <f>SUM(BA22:BE22)</f>
        <v/>
      </c>
      <c r="BK22" s="2">
        <f>SUM(BG22:BJ22)</f>
        <v/>
      </c>
      <c r="BL22" s="2">
        <f>AZ22+BF22+BK22</f>
        <v/>
      </c>
      <c r="BQ22" s="2">
        <f>SUM(BM22:BP22)</f>
        <v/>
      </c>
      <c r="BW22" s="2">
        <f>SUM(BR22:BV22)</f>
        <v/>
      </c>
      <c r="CB22" s="2">
        <f>SUM(BX22:CA22)</f>
        <v/>
      </c>
      <c r="CC22" s="2">
        <f>BQ22+BW22+CB22</f>
        <v/>
      </c>
      <c r="CD22" s="2">
        <f>AD22+AU22+BL22+CC22</f>
        <v/>
      </c>
    </row>
    <row r="23">
      <c r="A23" t="inlineStr">
        <is>
          <t>Approved</t>
        </is>
      </c>
      <c r="B23" t="inlineStr">
        <is>
          <t>9.3.1</t>
        </is>
      </c>
      <c r="C23" t="inlineStr">
        <is>
          <t>Phase 3 Permit</t>
        </is>
      </c>
      <c r="D23" t="inlineStr">
        <is>
          <t>DEHC</t>
        </is>
      </c>
      <c r="E23" t="inlineStr">
        <is>
          <t>CFIA Infrastructure</t>
        </is>
      </c>
      <c r="F23" t="inlineStr">
        <is>
          <t>Phase 3</t>
        </is>
      </c>
      <c r="G23" s="2" t="n">
        <v>0</v>
      </c>
      <c r="H23" s="2" t="n">
        <v>1356</v>
      </c>
      <c r="I23" s="2">
        <f>G23+H23</f>
        <v/>
      </c>
      <c r="J23" s="2">
        <f>SUMIF(LEDGER!$A:$A,$B23,LEDGER!$G:$G)</f>
        <v/>
      </c>
      <c r="K23" s="2">
        <f>I23-J23</f>
        <v/>
      </c>
      <c r="L23" s="2">
        <f>J23+CD23</f>
        <v/>
      </c>
      <c r="M23" s="2">
        <f>I23-L23</f>
        <v/>
      </c>
      <c r="R23" s="2">
        <f>SUM(N23:Q23)</f>
        <v/>
      </c>
      <c r="W23" s="2">
        <f>SUM(S23:V23)</f>
        <v/>
      </c>
      <c r="AA23" s="17" t="n">
        <v>1356</v>
      </c>
      <c r="AC23" s="2">
        <f>SUM(X23:AB23)</f>
        <v/>
      </c>
      <c r="AD23" s="2">
        <f>R23+W23+AC23</f>
        <v/>
      </c>
      <c r="AI23" s="2">
        <f>SUM(AE23:AH23)</f>
        <v/>
      </c>
      <c r="AL23" s="16" t="n"/>
      <c r="AM23" s="16" t="n"/>
      <c r="AN23" s="2">
        <f>SUM(AJ23:AM23)</f>
        <v/>
      </c>
      <c r="AO23" s="16" t="n"/>
      <c r="AP23" s="16" t="n"/>
      <c r="AQ23" s="16" t="n"/>
      <c r="AR23" s="16" t="n"/>
      <c r="AS23" s="16" t="n"/>
      <c r="AT23" s="2">
        <f>SUM(AO23:AS23)</f>
        <v/>
      </c>
      <c r="AU23" s="2">
        <f>AI23+AN23+AT23</f>
        <v/>
      </c>
      <c r="AV23" s="16" t="n"/>
      <c r="AW23" s="16" t="n"/>
      <c r="AZ23" s="2">
        <f>SUM(AV23:AY23)</f>
        <v/>
      </c>
      <c r="BF23" s="2">
        <f>SUM(BA23:BE23)</f>
        <v/>
      </c>
      <c r="BK23" s="2">
        <f>SUM(BG23:BJ23)</f>
        <v/>
      </c>
      <c r="BL23" s="2">
        <f>AZ23+BF23+BK23</f>
        <v/>
      </c>
      <c r="BQ23" s="2">
        <f>SUM(BM23:BP23)</f>
        <v/>
      </c>
      <c r="BW23" s="2">
        <f>SUM(BR23:BV23)</f>
        <v/>
      </c>
      <c r="CB23" s="2">
        <f>SUM(BX23:CA23)</f>
        <v/>
      </c>
      <c r="CC23" s="2">
        <f>BQ23+BW23+CB23</f>
        <v/>
      </c>
      <c r="CD23" s="2">
        <f>AD23+AU23+BL23+CC23</f>
        <v/>
      </c>
    </row>
    <row r="24">
      <c r="A24" t="inlineStr">
        <is>
          <t>Approved</t>
        </is>
      </c>
      <c r="B24" t="inlineStr">
        <is>
          <t>7.2</t>
        </is>
      </c>
      <c r="C24" t="inlineStr">
        <is>
          <t>Plan and approval of the two condominiums</t>
        </is>
      </c>
      <c r="D24" t="inlineStr">
        <is>
          <t>Blake</t>
        </is>
      </c>
      <c r="E24" t="inlineStr">
        <is>
          <t>CFIA Infrastructure</t>
        </is>
      </c>
      <c r="F24" t="inlineStr">
        <is>
          <t>Phase 3</t>
        </is>
      </c>
      <c r="G24" s="2" t="n">
        <v>0</v>
      </c>
      <c r="H24" s="2" t="n">
        <v>0</v>
      </c>
      <c r="I24" s="2">
        <f>G24+H24</f>
        <v/>
      </c>
      <c r="J24" s="2">
        <f>SUMIF(LEDGER!$A:$A,$B24,LEDGER!$G:$G)</f>
        <v/>
      </c>
      <c r="K24" s="2">
        <f>I24-J24</f>
        <v/>
      </c>
      <c r="L24" s="2">
        <f>J24+CD24</f>
        <v/>
      </c>
      <c r="M24" s="2">
        <f>I24-L24</f>
        <v/>
      </c>
      <c r="R24" s="2">
        <f>SUM(N24:Q24)</f>
        <v/>
      </c>
      <c r="W24" s="2">
        <f>SUM(S24:V24)</f>
        <v/>
      </c>
      <c r="AC24" s="2">
        <f>SUM(X24:AB24)</f>
        <v/>
      </c>
      <c r="AD24" s="2">
        <f>R24+W24+AC24</f>
        <v/>
      </c>
      <c r="AI24" s="2">
        <f>SUM(AE24:AH24)</f>
        <v/>
      </c>
      <c r="AL24" s="16" t="n"/>
      <c r="AM24" s="16" t="n"/>
      <c r="AN24" s="2">
        <f>SUM(AJ24:AM24)</f>
        <v/>
      </c>
      <c r="AO24" s="16" t="n"/>
      <c r="AP24" s="16" t="n"/>
      <c r="AQ24" s="16" t="n"/>
      <c r="AR24" s="16" t="n"/>
      <c r="AS24" s="16" t="n"/>
      <c r="AT24" s="2">
        <f>SUM(AO24:AS24)</f>
        <v/>
      </c>
      <c r="AU24" s="2">
        <f>AI24+AN24+AT24</f>
        <v/>
      </c>
      <c r="AV24" s="16" t="n"/>
      <c r="AW24" s="16" t="n"/>
      <c r="AZ24" s="2">
        <f>SUM(AV24:AY24)</f>
        <v/>
      </c>
      <c r="BF24" s="2">
        <f>SUM(BA24:BE24)</f>
        <v/>
      </c>
      <c r="BK24" s="2">
        <f>SUM(BG24:BJ24)</f>
        <v/>
      </c>
      <c r="BL24" s="2">
        <f>AZ24+BF24+BK24</f>
        <v/>
      </c>
      <c r="BQ24" s="2">
        <f>SUM(BM24:BP24)</f>
        <v/>
      </c>
      <c r="BW24" s="2">
        <f>SUM(BR24:BV24)</f>
        <v/>
      </c>
      <c r="CB24" s="2">
        <f>SUM(BX24:CA24)</f>
        <v/>
      </c>
      <c r="CC24" s="2">
        <f>BQ24+BW24+CB24</f>
        <v/>
      </c>
      <c r="CD24" s="2">
        <f>AD24+AU24+BL24+CC24</f>
        <v/>
      </c>
    </row>
    <row r="25">
      <c r="A25" t="inlineStr">
        <is>
          <t>Approved</t>
        </is>
      </c>
      <c r="B25" t="inlineStr">
        <is>
          <t>7.3</t>
        </is>
      </c>
      <c r="C25" t="inlineStr">
        <is>
          <t>Cadastre Plan (only when we want to convey)</t>
        </is>
      </c>
      <c r="D25" t="inlineStr">
        <is>
          <t>Surveyor</t>
        </is>
      </c>
      <c r="E25" t="inlineStr">
        <is>
          <t>CFIA Infrastructure</t>
        </is>
      </c>
      <c r="F25" t="inlineStr">
        <is>
          <t>Phase 3</t>
        </is>
      </c>
      <c r="G25" s="2" t="n">
        <v>102162.45</v>
      </c>
      <c r="H25" s="2" t="n">
        <v>0</v>
      </c>
      <c r="I25" s="2">
        <f>G25+H25</f>
        <v/>
      </c>
      <c r="J25" s="2">
        <f>SUMIF(LEDGER!$A:$A,$B25,LEDGER!$G:$G)</f>
        <v/>
      </c>
      <c r="K25" s="2">
        <f>I25-J25</f>
        <v/>
      </c>
      <c r="L25" s="2">
        <f>J25+CD25</f>
        <v/>
      </c>
      <c r="M25" s="2">
        <f>I25-L25</f>
        <v/>
      </c>
      <c r="R25" s="2">
        <f>SUM(N25:Q25)</f>
        <v/>
      </c>
      <c r="W25" s="2">
        <f>SUM(S25:V25)</f>
        <v/>
      </c>
      <c r="AC25" s="2">
        <f>SUM(X25:AB25)</f>
        <v/>
      </c>
      <c r="AD25" s="2">
        <f>R25+W25+AC25</f>
        <v/>
      </c>
      <c r="AI25" s="2">
        <f>SUM(AE25:AH25)</f>
        <v/>
      </c>
      <c r="AJ25" s="17" t="n">
        <v>51081.22</v>
      </c>
      <c r="AL25" s="16" t="n"/>
      <c r="AM25" s="16" t="n"/>
      <c r="AN25" s="2">
        <f>SUM(AJ25:AM25)</f>
        <v/>
      </c>
      <c r="AO25" s="16" t="n"/>
      <c r="AP25" s="16" t="n"/>
      <c r="AQ25" s="16" t="n"/>
      <c r="AR25" s="16" t="n"/>
      <c r="AS25" s="16" t="n"/>
      <c r="AT25" s="2">
        <f>SUM(AO25:AS25)</f>
        <v/>
      </c>
      <c r="AU25" s="2">
        <f>AI25+AN25+AT25</f>
        <v/>
      </c>
      <c r="AV25" s="16" t="n"/>
      <c r="AW25" s="16" t="n"/>
      <c r="AZ25" s="2">
        <f>SUM(AV25:AY25)</f>
        <v/>
      </c>
      <c r="BF25" s="2">
        <f>SUM(BA25:BE25)</f>
        <v/>
      </c>
      <c r="BG25" s="17" t="n">
        <v>51081.22</v>
      </c>
      <c r="BK25" s="2">
        <f>SUM(BG25:BJ25)</f>
        <v/>
      </c>
      <c r="BL25" s="2">
        <f>AZ25+BF25+BK25</f>
        <v/>
      </c>
      <c r="BQ25" s="2">
        <f>SUM(BM25:BP25)</f>
        <v/>
      </c>
      <c r="BW25" s="2">
        <f>SUM(BR25:BV25)</f>
        <v/>
      </c>
      <c r="CB25" s="2">
        <f>SUM(BX25:CA25)</f>
        <v/>
      </c>
      <c r="CC25" s="2">
        <f>BQ25+BW25+CB25</f>
        <v/>
      </c>
      <c r="CD25" s="2">
        <f>AD25+AU25+BL25+CC25</f>
        <v/>
      </c>
    </row>
    <row r="26">
      <c r="A26" t="inlineStr">
        <is>
          <t>Approved</t>
        </is>
      </c>
      <c r="B26" t="inlineStr">
        <is>
          <t>7.4</t>
        </is>
      </c>
      <c r="C26" t="inlineStr">
        <is>
          <t>CFIA  (1%) - Whole Project</t>
        </is>
      </c>
      <c r="D26" t="inlineStr">
        <is>
          <t>Blake</t>
        </is>
      </c>
      <c r="E26" t="inlineStr">
        <is>
          <t>CFIA Infrastructure</t>
        </is>
      </c>
      <c r="F26" t="inlineStr">
        <is>
          <t>Phase 3</t>
        </is>
      </c>
      <c r="G26" s="2" t="n">
        <v>265000</v>
      </c>
      <c r="H26" s="2" t="n">
        <v>0</v>
      </c>
      <c r="I26" s="2">
        <f>G26+H26</f>
        <v/>
      </c>
      <c r="J26" s="2">
        <f>SUMIF(LEDGER!$A:$A,$B26,LEDGER!$G:$G)</f>
        <v/>
      </c>
      <c r="K26" s="2">
        <f>I26-J26</f>
        <v/>
      </c>
      <c r="L26" s="2">
        <f>J26+CD26</f>
        <v/>
      </c>
      <c r="M26" s="2">
        <f>I26-L26</f>
        <v/>
      </c>
      <c r="R26" s="2">
        <f>SUM(N26:Q26)</f>
        <v/>
      </c>
      <c r="W26" s="2">
        <f>SUM(S26:V26)</f>
        <v/>
      </c>
      <c r="AC26" s="2">
        <f>SUM(X26:AB26)</f>
        <v/>
      </c>
      <c r="AD26" s="2">
        <f>R26+W26+AC26</f>
        <v/>
      </c>
      <c r="AI26" s="2">
        <f>SUM(AE26:AH26)</f>
        <v/>
      </c>
      <c r="AL26" s="16" t="n"/>
      <c r="AM26" s="16" t="n"/>
      <c r="AN26" s="2">
        <f>SUM(AJ26:AM26)</f>
        <v/>
      </c>
      <c r="AO26" s="16" t="n"/>
      <c r="AP26" s="16" t="n"/>
      <c r="AQ26" s="16" t="n"/>
      <c r="AR26" s="16" t="n"/>
      <c r="AS26" s="16" t="n"/>
      <c r="AT26" s="2">
        <f>SUM(AO26:AS26)</f>
        <v/>
      </c>
      <c r="AU26" s="2">
        <f>AI26+AN26+AT26</f>
        <v/>
      </c>
      <c r="AV26" s="16" t="n"/>
      <c r="AW26" s="16" t="n"/>
      <c r="AZ26" s="2">
        <f>SUM(AV26:AY26)</f>
        <v/>
      </c>
      <c r="BA26" s="17" t="n">
        <v>265000</v>
      </c>
      <c r="BF26" s="2">
        <f>SUM(BA26:BE26)</f>
        <v/>
      </c>
      <c r="BK26" s="2">
        <f>SUM(BG26:BJ26)</f>
        <v/>
      </c>
      <c r="BL26" s="2">
        <f>AZ26+BF26+BK26</f>
        <v/>
      </c>
      <c r="BQ26" s="2">
        <f>SUM(BM26:BP26)</f>
        <v/>
      </c>
      <c r="BW26" s="2">
        <f>SUM(BR26:BV26)</f>
        <v/>
      </c>
      <c r="CB26" s="2">
        <f>SUM(BX26:CA26)</f>
        <v/>
      </c>
      <c r="CC26" s="2">
        <f>BQ26+BW26+CB26</f>
        <v/>
      </c>
      <c r="CD26" s="2">
        <f>AD26+AU26+BL26+CC26</f>
        <v/>
      </c>
    </row>
    <row r="27">
      <c r="A27" t="inlineStr">
        <is>
          <t>Approved</t>
        </is>
      </c>
      <c r="B27" t="inlineStr">
        <is>
          <t>7.5</t>
        </is>
      </c>
      <c r="C27" t="inlineStr">
        <is>
          <t>INS (1.298%) - Phase Only</t>
        </is>
      </c>
      <c r="D27" t="inlineStr">
        <is>
          <t>Blake</t>
        </is>
      </c>
      <c r="E27" t="inlineStr">
        <is>
          <t>CFIA Infrastructure</t>
        </is>
      </c>
      <c r="F27" t="inlineStr">
        <is>
          <t>Phase 3</t>
        </is>
      </c>
      <c r="G27" s="2" t="n">
        <v>129800</v>
      </c>
      <c r="H27" s="2" t="n">
        <v>0</v>
      </c>
      <c r="I27" s="2">
        <f>G27+H27</f>
        <v/>
      </c>
      <c r="J27" s="2">
        <f>SUMIF(LEDGER!$A:$A,$B27,LEDGER!$G:$G)</f>
        <v/>
      </c>
      <c r="K27" s="2">
        <f>I27-J27</f>
        <v/>
      </c>
      <c r="L27" s="2">
        <f>J27+CD27</f>
        <v/>
      </c>
      <c r="M27" s="2">
        <f>I27-L27</f>
        <v/>
      </c>
      <c r="R27" s="2">
        <f>SUM(N27:Q27)</f>
        <v/>
      </c>
      <c r="W27" s="2">
        <f>SUM(S27:V27)</f>
        <v/>
      </c>
      <c r="AC27" s="2">
        <f>SUM(X27:AB27)</f>
        <v/>
      </c>
      <c r="AD27" s="2">
        <f>R27+W27+AC27</f>
        <v/>
      </c>
      <c r="AI27" s="2">
        <f>SUM(AE27:AH27)</f>
        <v/>
      </c>
      <c r="AL27" s="16" t="n"/>
      <c r="AM27" s="16" t="n"/>
      <c r="AN27" s="2">
        <f>SUM(AJ27:AM27)</f>
        <v/>
      </c>
      <c r="AO27" s="16" t="n"/>
      <c r="AP27" s="16" t="n"/>
      <c r="AQ27" s="16" t="n"/>
      <c r="AR27" s="16" t="n"/>
      <c r="AS27" s="16" t="n"/>
      <c r="AT27" s="2">
        <f>SUM(AO27:AS27)</f>
        <v/>
      </c>
      <c r="AU27" s="2">
        <f>AI27+AN27+AT27</f>
        <v/>
      </c>
      <c r="AV27" s="16" t="n"/>
      <c r="AW27" s="16" t="n"/>
      <c r="AZ27" s="2">
        <f>SUM(AV27:AY27)</f>
        <v/>
      </c>
      <c r="BF27" s="2">
        <f>SUM(BA27:BE27)</f>
        <v/>
      </c>
      <c r="BK27" s="2">
        <f>SUM(BG27:BJ27)</f>
        <v/>
      </c>
      <c r="BL27" s="2">
        <f>AZ27+BF27+BK27</f>
        <v/>
      </c>
      <c r="BQ27" s="2">
        <f>SUM(BM27:BP27)</f>
        <v/>
      </c>
      <c r="BU27" s="17" t="n">
        <v>129800</v>
      </c>
      <c r="BW27" s="2">
        <f>SUM(BR27:BV27)</f>
        <v/>
      </c>
      <c r="CB27" s="2">
        <f>SUM(BX27:CA27)</f>
        <v/>
      </c>
      <c r="CC27" s="2">
        <f>BQ27+BW27+CB27</f>
        <v/>
      </c>
      <c r="CD27" s="2">
        <f>AD27+AU27+BL27+CC27</f>
        <v/>
      </c>
    </row>
    <row r="28">
      <c r="A28" t="inlineStr">
        <is>
          <t>Approved</t>
        </is>
      </c>
      <c r="B28" t="inlineStr">
        <is>
          <t>7.6</t>
        </is>
      </c>
      <c r="C28" t="inlineStr">
        <is>
          <t>SETENA Bond (1.5% Value) - Phase Only</t>
        </is>
      </c>
      <c r="D28" t="inlineStr">
        <is>
          <t>Partnership</t>
        </is>
      </c>
      <c r="E28" t="inlineStr">
        <is>
          <t>CFIA Infrastructure</t>
        </is>
      </c>
      <c r="F28" t="inlineStr">
        <is>
          <t>Phase 3</t>
        </is>
      </c>
      <c r="G28" s="2" t="n">
        <v>300000</v>
      </c>
      <c r="H28" s="2" t="n">
        <v>0</v>
      </c>
      <c r="I28" s="2">
        <f>G28+H28</f>
        <v/>
      </c>
      <c r="J28" s="2">
        <f>SUMIF(LEDGER!$A:$A,$B28,LEDGER!$G:$G)</f>
        <v/>
      </c>
      <c r="K28" s="2">
        <f>I28-J28</f>
        <v/>
      </c>
      <c r="L28" s="2">
        <f>J28+CD28</f>
        <v/>
      </c>
      <c r="M28" s="2">
        <f>I28-L28</f>
        <v/>
      </c>
      <c r="R28" s="2">
        <f>SUM(N28:Q28)</f>
        <v/>
      </c>
      <c r="W28" s="2">
        <f>SUM(S28:V28)</f>
        <v/>
      </c>
      <c r="AC28" s="2">
        <f>SUM(X28:AB28)</f>
        <v/>
      </c>
      <c r="AD28" s="2">
        <f>R28+W28+AC28</f>
        <v/>
      </c>
      <c r="AI28" s="2">
        <f>SUM(AE28:AH28)</f>
        <v/>
      </c>
      <c r="AL28" s="16" t="n"/>
      <c r="AM28" s="16" t="n"/>
      <c r="AN28" s="2">
        <f>SUM(AJ28:AM28)</f>
        <v/>
      </c>
      <c r="AO28" s="16" t="n"/>
      <c r="AP28" s="16" t="n"/>
      <c r="AQ28" s="16" t="n"/>
      <c r="AR28" s="16" t="n"/>
      <c r="AS28" s="16" t="n"/>
      <c r="AT28" s="2">
        <f>SUM(AO28:AS28)</f>
        <v/>
      </c>
      <c r="AU28" s="2">
        <f>AI28+AN28+AT28</f>
        <v/>
      </c>
      <c r="AV28" s="16" t="n"/>
      <c r="AW28" s="16" t="n"/>
      <c r="AZ28" s="2">
        <f>SUM(AV28:AY28)</f>
        <v/>
      </c>
      <c r="BF28" s="2">
        <f>SUM(BA28:BE28)</f>
        <v/>
      </c>
      <c r="BK28" s="2">
        <f>SUM(BG28:BJ28)</f>
        <v/>
      </c>
      <c r="BL28" s="2">
        <f>AZ28+BF28+BK28</f>
        <v/>
      </c>
      <c r="BQ28" s="2">
        <f>SUM(BM28:BP28)</f>
        <v/>
      </c>
      <c r="BR28" s="17" t="n">
        <v>300000</v>
      </c>
      <c r="BW28" s="2">
        <f>SUM(BR28:BV28)</f>
        <v/>
      </c>
      <c r="CB28" s="2">
        <f>SUM(BX28:CA28)</f>
        <v/>
      </c>
      <c r="CC28" s="2">
        <f>BQ28+BW28+CB28</f>
        <v/>
      </c>
      <c r="CD28" s="2">
        <f>AD28+AU28+BL28+CC28</f>
        <v/>
      </c>
    </row>
    <row r="29">
      <c r="A29" t="inlineStr">
        <is>
          <t>Approved</t>
        </is>
      </c>
      <c r="B29" t="inlineStr">
        <is>
          <t>7.7</t>
        </is>
      </c>
      <c r="C29" t="inlineStr">
        <is>
          <t>Municipality (1%) - Phase Only</t>
        </is>
      </c>
      <c r="D29" t="inlineStr">
        <is>
          <t>Permit Engineer</t>
        </is>
      </c>
      <c r="E29" t="inlineStr">
        <is>
          <t>CFIA Infrastructure</t>
        </is>
      </c>
      <c r="F29" t="inlineStr">
        <is>
          <t>Phase 3</t>
        </is>
      </c>
      <c r="G29" s="2" t="n">
        <v>100000</v>
      </c>
      <c r="H29" s="2" t="n">
        <v>0</v>
      </c>
      <c r="I29" s="2">
        <f>G29+H29</f>
        <v/>
      </c>
      <c r="J29" s="2">
        <f>SUMIF(LEDGER!$A:$A,$B29,LEDGER!$G:$G)</f>
        <v/>
      </c>
      <c r="K29" s="2">
        <f>I29-J29</f>
        <v/>
      </c>
      <c r="L29" s="2">
        <f>J29+CD29</f>
        <v/>
      </c>
      <c r="M29" s="2">
        <f>I29-L29</f>
        <v/>
      </c>
      <c r="R29" s="2">
        <f>SUM(N29:Q29)</f>
        <v/>
      </c>
      <c r="W29" s="2">
        <f>SUM(S29:V29)</f>
        <v/>
      </c>
      <c r="AC29" s="2">
        <f>SUM(X29:AB29)</f>
        <v/>
      </c>
      <c r="AD29" s="2">
        <f>R29+W29+AC29</f>
        <v/>
      </c>
      <c r="AI29" s="2">
        <f>SUM(AE29:AH29)</f>
        <v/>
      </c>
      <c r="AL29" s="16" t="n"/>
      <c r="AM29" s="16" t="n"/>
      <c r="AN29" s="2">
        <f>SUM(AJ29:AM29)</f>
        <v/>
      </c>
      <c r="AO29" s="16" t="n"/>
      <c r="AP29" s="16" t="n"/>
      <c r="AQ29" s="16" t="n"/>
      <c r="AR29" s="16" t="n"/>
      <c r="AS29" s="16" t="n"/>
      <c r="AT29" s="2">
        <f>SUM(AO29:AS29)</f>
        <v/>
      </c>
      <c r="AU29" s="2">
        <f>AI29+AN29+AT29</f>
        <v/>
      </c>
      <c r="AV29" s="16" t="n"/>
      <c r="AW29" s="16" t="n"/>
      <c r="AZ29" s="2">
        <f>SUM(AV29:AY29)</f>
        <v/>
      </c>
      <c r="BF29" s="2">
        <f>SUM(BA29:BE29)</f>
        <v/>
      </c>
      <c r="BK29" s="2">
        <f>SUM(BG29:BJ29)</f>
        <v/>
      </c>
      <c r="BL29" s="2">
        <f>AZ29+BF29+BK29</f>
        <v/>
      </c>
      <c r="BQ29" s="2">
        <f>SUM(BM29:BP29)</f>
        <v/>
      </c>
      <c r="BW29" s="2">
        <f>SUM(BR29:BV29)</f>
        <v/>
      </c>
      <c r="BX29" s="17" t="n">
        <v>100000</v>
      </c>
      <c r="CB29" s="2">
        <f>SUM(BX29:CA29)</f>
        <v/>
      </c>
      <c r="CC29" s="2">
        <f>BQ29+BW29+CB29</f>
        <v/>
      </c>
      <c r="CD29" s="2">
        <f>AD29+AU29+BL29+CC29</f>
        <v/>
      </c>
    </row>
    <row r="30">
      <c r="A30" s="10" t="n"/>
      <c r="B30" s="10" t="n"/>
      <c r="C30" s="11" t="inlineStr">
        <is>
          <t>TOTAL CFIA Infrastructure</t>
        </is>
      </c>
      <c r="D30" s="10" t="n"/>
      <c r="E30" s="10" t="n"/>
      <c r="F30" s="10" t="n"/>
      <c r="G30" s="15">
        <f>G19+G20+G21+G22+G23+G24+G25+G26+G27+G28+G29</f>
        <v/>
      </c>
      <c r="H30" s="15">
        <f>H19+H20+H21+H22+H23+H24+H25+H26+H27+H28+H29</f>
        <v/>
      </c>
      <c r="I30" s="15">
        <f>I19+I20+I21+I22+I23+I24+I25+I26+I27+I28+I29</f>
        <v/>
      </c>
      <c r="J30" s="15">
        <f>J19+J20+J21+J22+J23+J24+J25+J26+J27+J28+J29</f>
        <v/>
      </c>
      <c r="K30" s="15">
        <f>K19+K20+K21+K22+K23+K24+K25+K26+K27+K28+K29</f>
        <v/>
      </c>
      <c r="L30" s="15">
        <f>L19+L20+L21+L22+L23+L24+L25+L26+L27+L28+L29</f>
        <v/>
      </c>
      <c r="M30" s="15">
        <f>M19+M20+M21+M22+M23+M24+M25+M26+M27+M28+M29</f>
        <v/>
      </c>
      <c r="N30" s="10" t="n"/>
      <c r="O30" s="10" t="n"/>
      <c r="P30" s="10" t="n"/>
      <c r="Q30" s="10" t="n"/>
      <c r="R30" s="15">
        <f>R19+R20+R21+R22+R23+R24+R25+R26+R27+R28+R29</f>
        <v/>
      </c>
      <c r="S30" s="10" t="n"/>
      <c r="T30" s="10" t="n"/>
      <c r="U30" s="10" t="n"/>
      <c r="V30" s="10" t="n"/>
      <c r="W30" s="15">
        <f>W19+W20+W21+W22+W23+W24+W25+W26+W27+W28+W29</f>
        <v/>
      </c>
      <c r="X30" s="10" t="n"/>
      <c r="Y30" s="10" t="n"/>
      <c r="Z30" s="10" t="n"/>
      <c r="AA30" s="10" t="n"/>
      <c r="AB30" s="10" t="n"/>
      <c r="AC30" s="15">
        <f>AC19+AC20+AC21+AC22+AC23+AC24+AC25+AC26+AC27+AC28+AC29</f>
        <v/>
      </c>
      <c r="AD30" s="15">
        <f>AD19+AD20+AD21+AD22+AD23+AD24+AD25+AD26+AD27+AD28+AD29</f>
        <v/>
      </c>
      <c r="AE30" s="10" t="n"/>
      <c r="AF30" s="10" t="n"/>
      <c r="AG30" s="10" t="n"/>
      <c r="AH30" s="10" t="n"/>
      <c r="AI30" s="15">
        <f>AI19+AI20+AI21+AI22+AI23+AI24+AI25+AI26+AI27+AI28+AI29</f>
        <v/>
      </c>
      <c r="AJ30" s="10" t="n"/>
      <c r="AK30" s="10" t="n"/>
      <c r="AL30" s="10" t="n"/>
      <c r="AM30" s="10" t="n"/>
      <c r="AN30" s="15">
        <f>AN19+AN20+AN21+AN22+AN23+AN24+AN25+AN26+AN27+AN28+AN29</f>
        <v/>
      </c>
      <c r="AO30" s="10" t="n"/>
      <c r="AP30" s="10" t="n"/>
      <c r="AQ30" s="10" t="n"/>
      <c r="AR30" s="10" t="n"/>
      <c r="AS30" s="10" t="n"/>
      <c r="AT30" s="15">
        <f>AT19+AT20+AT21+AT22+AT23+AT24+AT25+AT26+AT27+AT28+AT29</f>
        <v/>
      </c>
      <c r="AU30" s="15">
        <f>AU19+AU20+AU21+AU22+AU23+AU24+AU25+AU26+AU27+AU28+AU29</f>
        <v/>
      </c>
      <c r="AV30" s="10" t="n"/>
      <c r="AW30" s="10" t="n"/>
      <c r="AX30" s="10" t="n"/>
      <c r="AY30" s="10" t="n"/>
      <c r="AZ30" s="15">
        <f>AZ19+AZ20+AZ21+AZ22+AZ23+AZ24+AZ25+AZ26+AZ27+AZ28+AZ29</f>
        <v/>
      </c>
      <c r="BA30" s="10" t="n"/>
      <c r="BB30" s="10" t="n"/>
      <c r="BC30" s="10" t="n"/>
      <c r="BD30" s="10" t="n"/>
      <c r="BE30" s="10" t="n"/>
      <c r="BF30" s="15">
        <f>BF19+BF20+BF21+BF22+BF23+BF24+BF25+BF26+BF27+BF28+BF29</f>
        <v/>
      </c>
      <c r="BG30" s="10" t="n"/>
      <c r="BH30" s="10" t="n"/>
      <c r="BI30" s="10" t="n"/>
      <c r="BJ30" s="10" t="n"/>
      <c r="BK30" s="15">
        <f>BK19+BK20+BK21+BK22+BK23+BK24+BK25+BK26+BK27+BK28+BK29</f>
        <v/>
      </c>
      <c r="BL30" s="15">
        <f>BL19+BL20+BL21+BL22+BL23+BL24+BL25+BL26+BL27+BL28+BL29</f>
        <v/>
      </c>
      <c r="BM30" s="10" t="n"/>
      <c r="BN30" s="10" t="n"/>
      <c r="BO30" s="10" t="n"/>
      <c r="BP30" s="10" t="n"/>
      <c r="BQ30" s="15">
        <f>BQ19+BQ20+BQ21+BQ22+BQ23+BQ24+BQ25+BQ26+BQ27+BQ28+BQ29</f>
        <v/>
      </c>
      <c r="BR30" s="10" t="n"/>
      <c r="BS30" s="10" t="n"/>
      <c r="BT30" s="10" t="n"/>
      <c r="BU30" s="10" t="n"/>
      <c r="BV30" s="10" t="n"/>
      <c r="BW30" s="15">
        <f>BW19+BW20+BW21+BW22+BW23+BW24+BW25+BW26+BW27+BW28+BW29</f>
        <v/>
      </c>
      <c r="BX30" s="10" t="n"/>
      <c r="BY30" s="10" t="n"/>
      <c r="BZ30" s="10" t="n"/>
      <c r="CA30" s="10" t="n"/>
      <c r="CB30" s="15">
        <f>CB19+CB20+CB21+CB22+CB23+CB24+CB25+CB26+CB27+CB28+CB29</f>
        <v/>
      </c>
      <c r="CC30" s="15">
        <f>CC19+CC20+CC21+CC22+CC23+CC24+CC25+CC26+CC27+CC28+CC29</f>
        <v/>
      </c>
      <c r="CD30" s="15">
        <f>CD19+CD20+CD21+CD22+CD23+CD24+CD25+CD26+CD27+CD28+CD29</f>
        <v/>
      </c>
    </row>
    <row r="31">
      <c r="A31" s="12" t="inlineStr">
        <is>
          <t>CONCESSIONS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  <c r="BS31" s="13" t="n"/>
      <c r="BT31" s="13" t="n"/>
      <c r="BU31" s="13" t="n"/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</row>
    <row r="32">
      <c r="A32" t="inlineStr">
        <is>
          <t>In process</t>
        </is>
      </c>
      <c r="B32" t="inlineStr">
        <is>
          <t>5.1</t>
        </is>
      </c>
      <c r="C32" t="inlineStr">
        <is>
          <t>Preliminar Study for PNE applications in ACOSA, SINAC, and Muni</t>
        </is>
      </c>
      <c r="D32" t="inlineStr">
        <is>
          <t>Eduardo</t>
        </is>
      </c>
      <c r="E32" t="inlineStr">
        <is>
          <t>Concessions</t>
        </is>
      </c>
      <c r="F32" t="inlineStr">
        <is>
          <t>SETENA Regional Review</t>
        </is>
      </c>
      <c r="G32" s="2" t="n">
        <v>0</v>
      </c>
      <c r="H32" s="2" t="n">
        <v>5000</v>
      </c>
      <c r="I32" s="2">
        <f>G32+H32</f>
        <v/>
      </c>
      <c r="J32" s="2">
        <f>SUMIF(LEDGER!$A:$A,$B32,LEDGER!$G:$G)</f>
        <v/>
      </c>
      <c r="K32" s="2">
        <f>I32-J32</f>
        <v/>
      </c>
      <c r="L32" s="2">
        <f>J32+CD32</f>
        <v/>
      </c>
      <c r="M32" s="2">
        <f>I32-L32</f>
        <v/>
      </c>
      <c r="N32" s="16" t="n"/>
      <c r="O32" s="16" t="n"/>
      <c r="P32" s="16" t="n"/>
      <c r="Q32" s="16" t="n"/>
      <c r="R32" s="2">
        <f>SUM(N32:Q32)</f>
        <v/>
      </c>
      <c r="S32" s="16" t="n"/>
      <c r="T32" s="16" t="n"/>
      <c r="U32" s="16" t="n"/>
      <c r="V32" s="16" t="n"/>
      <c r="W32" s="2">
        <f>SUM(S32:V32)</f>
        <v/>
      </c>
      <c r="X32" s="16" t="n"/>
      <c r="Y32" s="16" t="n"/>
      <c r="Z32" s="16" t="n"/>
      <c r="AA32" s="16" t="n"/>
      <c r="AB32" s="16" t="n"/>
      <c r="AC32" s="2">
        <f>SUM(X32:AB32)</f>
        <v/>
      </c>
      <c r="AD32" s="2">
        <f>R32+W32+AC32</f>
        <v/>
      </c>
      <c r="AE32" s="16" t="n"/>
      <c r="AF32" s="16" t="n"/>
      <c r="AG32" s="16" t="n"/>
      <c r="AH32" s="16" t="n"/>
      <c r="AI32" s="2">
        <f>SUM(AE32:AH32)</f>
        <v/>
      </c>
      <c r="AJ32" s="16" t="n"/>
      <c r="AN32" s="2">
        <f>SUM(AJ32:AM32)</f>
        <v/>
      </c>
      <c r="AT32" s="2">
        <f>SUM(AO32:AS32)</f>
        <v/>
      </c>
      <c r="AU32" s="2">
        <f>AI32+AN32+AT32</f>
        <v/>
      </c>
      <c r="AZ32" s="2">
        <f>SUM(AV32:AY32)</f>
        <v/>
      </c>
      <c r="BF32" s="2">
        <f>SUM(BA32:BE32)</f>
        <v/>
      </c>
      <c r="BK32" s="2">
        <f>SUM(BG32:BJ32)</f>
        <v/>
      </c>
      <c r="BL32" s="2">
        <f>AZ32+BF32+BK32</f>
        <v/>
      </c>
      <c r="BM32" s="14" t="n">
        <v>5000</v>
      </c>
      <c r="BQ32" s="2">
        <f>SUM(BM32:BP32)</f>
        <v/>
      </c>
      <c r="BW32" s="2">
        <f>SUM(BR32:BV32)</f>
        <v/>
      </c>
      <c r="CB32" s="2">
        <f>SUM(BX32:CA32)</f>
        <v/>
      </c>
      <c r="CC32" s="2">
        <f>BQ32+BW32+CB32</f>
        <v/>
      </c>
      <c r="CD32" s="2">
        <f>AD32+AU32+BL32+CC32</f>
        <v/>
      </c>
    </row>
    <row r="33">
      <c r="A33" t="inlineStr">
        <is>
          <t>In process</t>
        </is>
      </c>
      <c r="B33" t="inlineStr">
        <is>
          <t>5.2</t>
        </is>
      </c>
      <c r="C33" t="inlineStr">
        <is>
          <t>Engineering diagnosis to apply reversion of Patrimony areas to Muni ( to apply later for concessions )</t>
        </is>
      </c>
      <c r="D33" t="inlineStr">
        <is>
          <t>Eduardo consultant</t>
        </is>
      </c>
      <c r="E33" t="inlineStr">
        <is>
          <t>Concessions</t>
        </is>
      </c>
      <c r="F33" t="inlineStr">
        <is>
          <t>SETENA Regional Review</t>
        </is>
      </c>
      <c r="G33" s="2" t="n">
        <v>9943.999999999998</v>
      </c>
      <c r="H33" s="2" t="n">
        <v>0</v>
      </c>
      <c r="I33" s="2">
        <f>G33+H33</f>
        <v/>
      </c>
      <c r="J33" s="2">
        <f>SUMIF(LEDGER!$A:$A,$B33,LEDGER!$G:$G)</f>
        <v/>
      </c>
      <c r="K33" s="2">
        <f>I33-J33</f>
        <v/>
      </c>
      <c r="L33" s="2">
        <f>J33+CD33</f>
        <v/>
      </c>
      <c r="M33" s="2">
        <f>I33-L33</f>
        <v/>
      </c>
      <c r="N33" s="16" t="n"/>
      <c r="O33" s="16" t="n"/>
      <c r="P33" s="16" t="n"/>
      <c r="Q33" s="16" t="n"/>
      <c r="R33" s="2">
        <f>SUM(N33:Q33)</f>
        <v/>
      </c>
      <c r="S33" s="16" t="n"/>
      <c r="T33" s="16" t="n"/>
      <c r="U33" s="16" t="n"/>
      <c r="V33" s="16" t="n"/>
      <c r="W33" s="2">
        <f>SUM(S33:V33)</f>
        <v/>
      </c>
      <c r="X33" s="16" t="n"/>
      <c r="Y33" s="16" t="n"/>
      <c r="Z33" s="16" t="n"/>
      <c r="AA33" s="14" t="n">
        <v>4972</v>
      </c>
      <c r="AB33" s="16" t="n"/>
      <c r="AC33" s="2">
        <f>SUM(X33:AB33)</f>
        <v/>
      </c>
      <c r="AD33" s="2">
        <f>R33+W33+AC33</f>
        <v/>
      </c>
      <c r="AE33" s="16" t="n"/>
      <c r="AF33" s="16" t="n"/>
      <c r="AG33" s="16" t="n"/>
      <c r="AH33" s="16" t="n"/>
      <c r="AI33" s="2">
        <f>SUM(AE33:AH33)</f>
        <v/>
      </c>
      <c r="AJ33" s="16" t="n"/>
      <c r="AN33" s="2">
        <f>SUM(AJ33:AM33)</f>
        <v/>
      </c>
      <c r="AT33" s="2">
        <f>SUM(AO33:AS33)</f>
        <v/>
      </c>
      <c r="AU33" s="2">
        <f>AI33+AN33+AT33</f>
        <v/>
      </c>
      <c r="AZ33" s="2">
        <f>SUM(AV33:AY33)</f>
        <v/>
      </c>
      <c r="BF33" s="2">
        <f>SUM(BA33:BE33)</f>
        <v/>
      </c>
      <c r="BK33" s="2">
        <f>SUM(BG33:BJ33)</f>
        <v/>
      </c>
      <c r="BL33" s="2">
        <f>AZ33+BF33+BK33</f>
        <v/>
      </c>
      <c r="BM33" s="14" t="n">
        <v>4972</v>
      </c>
      <c r="BQ33" s="2">
        <f>SUM(BM33:BP33)</f>
        <v/>
      </c>
      <c r="BW33" s="2">
        <f>SUM(BR33:BV33)</f>
        <v/>
      </c>
      <c r="CB33" s="2">
        <f>SUM(BX33:CA33)</f>
        <v/>
      </c>
      <c r="CC33" s="2">
        <f>BQ33+BW33+CB33</f>
        <v/>
      </c>
      <c r="CD33" s="2">
        <f>AD33+AU33+BL33+CC33</f>
        <v/>
      </c>
    </row>
    <row r="34">
      <c r="A34" t="inlineStr">
        <is>
          <t>Approved</t>
        </is>
      </c>
      <c r="B34" t="inlineStr">
        <is>
          <t>5.3</t>
        </is>
      </c>
      <c r="C34" t="inlineStr">
        <is>
          <t>Application/ project description for PNE MINAET</t>
        </is>
      </c>
      <c r="D34" t="inlineStr">
        <is>
          <t>Eduardo</t>
        </is>
      </c>
      <c r="E34" t="inlineStr">
        <is>
          <t>Concessions</t>
        </is>
      </c>
      <c r="F34" t="inlineStr">
        <is>
          <t>SETENA Regional Review</t>
        </is>
      </c>
      <c r="G34" s="2" t="n">
        <v>15876.5</v>
      </c>
      <c r="H34" s="2" t="n">
        <v>0</v>
      </c>
      <c r="I34" s="2">
        <f>G34+H34</f>
        <v/>
      </c>
      <c r="J34" s="2">
        <f>SUMIF(LEDGER!$A:$A,$B34,LEDGER!$G:$G)</f>
        <v/>
      </c>
      <c r="K34" s="2">
        <f>I34-J34</f>
        <v/>
      </c>
      <c r="L34" s="2">
        <f>J34+CD34</f>
        <v/>
      </c>
      <c r="M34" s="2">
        <f>I34-L34</f>
        <v/>
      </c>
      <c r="N34" s="16" t="n"/>
      <c r="O34" s="16" t="n"/>
      <c r="P34" s="16" t="n"/>
      <c r="Q34" s="16" t="n"/>
      <c r="R34" s="2">
        <f>SUM(N34:Q34)</f>
        <v/>
      </c>
      <c r="S34" s="16" t="n"/>
      <c r="T34" s="16" t="n"/>
      <c r="U34" s="16" t="n"/>
      <c r="V34" s="16" t="n"/>
      <c r="W34" s="2">
        <f>SUM(S34:V34)</f>
        <v/>
      </c>
      <c r="X34" s="16" t="n"/>
      <c r="Y34" s="16" t="n"/>
      <c r="Z34" s="16" t="n"/>
      <c r="AA34" s="16" t="n"/>
      <c r="AB34" s="16" t="n"/>
      <c r="AC34" s="2">
        <f>SUM(X34:AB34)</f>
        <v/>
      </c>
      <c r="AD34" s="2">
        <f>R34+W34+AC34</f>
        <v/>
      </c>
      <c r="AE34" s="16" t="n"/>
      <c r="AF34" s="16" t="n"/>
      <c r="AG34" s="16" t="n"/>
      <c r="AH34" s="16" t="n"/>
      <c r="AI34" s="2">
        <f>SUM(AE34:AH34)</f>
        <v/>
      </c>
      <c r="AJ34" s="17" t="n">
        <v>15876.5</v>
      </c>
      <c r="AN34" s="2">
        <f>SUM(AJ34:AM34)</f>
        <v/>
      </c>
      <c r="AT34" s="2">
        <f>SUM(AO34:AS34)</f>
        <v/>
      </c>
      <c r="AU34" s="2">
        <f>AI34+AN34+AT34</f>
        <v/>
      </c>
      <c r="AZ34" s="2">
        <f>SUM(AV34:AY34)</f>
        <v/>
      </c>
      <c r="BF34" s="2">
        <f>SUM(BA34:BE34)</f>
        <v/>
      </c>
      <c r="BK34" s="2">
        <f>SUM(BG34:BJ34)</f>
        <v/>
      </c>
      <c r="BL34" s="2">
        <f>AZ34+BF34+BK34</f>
        <v/>
      </c>
      <c r="BQ34" s="2">
        <f>SUM(BM34:BP34)</f>
        <v/>
      </c>
      <c r="BW34" s="2">
        <f>SUM(BR34:BV34)</f>
        <v/>
      </c>
      <c r="CB34" s="2">
        <f>SUM(BX34:CA34)</f>
        <v/>
      </c>
      <c r="CC34" s="2">
        <f>BQ34+BW34+CB34</f>
        <v/>
      </c>
      <c r="CD34" s="2">
        <f>AD34+AU34+BL34+CC34</f>
        <v/>
      </c>
    </row>
    <row r="35">
      <c r="A35" t="inlineStr">
        <is>
          <t>Approved</t>
        </is>
      </c>
      <c r="B35" t="inlineStr">
        <is>
          <t>5.4</t>
        </is>
      </c>
      <c r="C35" t="inlineStr">
        <is>
          <t>Survey new plans - Adjust to Government Regs</t>
        </is>
      </c>
      <c r="D35" t="inlineStr">
        <is>
          <t>Surveyor</t>
        </is>
      </c>
      <c r="E35" t="inlineStr">
        <is>
          <t>Concessions</t>
        </is>
      </c>
      <c r="F35" t="inlineStr">
        <is>
          <t>SETENA Regional Review</t>
        </is>
      </c>
      <c r="G35" s="2" t="n">
        <v>72207</v>
      </c>
      <c r="H35" s="2" t="n">
        <v>0</v>
      </c>
      <c r="I35" s="2">
        <f>G35+H35</f>
        <v/>
      </c>
      <c r="J35" s="2">
        <f>SUMIF(LEDGER!$A:$A,$B35,LEDGER!$G:$G)</f>
        <v/>
      </c>
      <c r="K35" s="2">
        <f>I35-J35</f>
        <v/>
      </c>
      <c r="L35" s="2">
        <f>J35+CD35</f>
        <v/>
      </c>
      <c r="M35" s="2">
        <f>I35-L35</f>
        <v/>
      </c>
      <c r="N35" s="16" t="n"/>
      <c r="O35" s="16" t="n"/>
      <c r="P35" s="16" t="n"/>
      <c r="Q35" s="16" t="n"/>
      <c r="R35" s="2">
        <f>SUM(N35:Q35)</f>
        <v/>
      </c>
      <c r="S35" s="16" t="n"/>
      <c r="T35" s="16" t="n"/>
      <c r="U35" s="16" t="n"/>
      <c r="V35" s="16" t="n"/>
      <c r="W35" s="2">
        <f>SUM(S35:V35)</f>
        <v/>
      </c>
      <c r="X35" s="16" t="n"/>
      <c r="Y35" s="16" t="n"/>
      <c r="Z35" s="16" t="n"/>
      <c r="AA35" s="16" t="n"/>
      <c r="AB35" s="16" t="n"/>
      <c r="AC35" s="2">
        <f>SUM(X35:AB35)</f>
        <v/>
      </c>
      <c r="AD35" s="2">
        <f>R35+W35+AC35</f>
        <v/>
      </c>
      <c r="AE35" s="16" t="n"/>
      <c r="AF35" s="16" t="n"/>
      <c r="AG35" s="16" t="n"/>
      <c r="AH35" s="17" t="n">
        <v>16950</v>
      </c>
      <c r="AI35" s="2">
        <f>SUM(AE35:AH35)</f>
        <v/>
      </c>
      <c r="AJ35" s="16" t="n"/>
      <c r="AN35" s="2">
        <f>SUM(AJ35:AM35)</f>
        <v/>
      </c>
      <c r="AO35" s="17" t="n">
        <v>30000</v>
      </c>
      <c r="AT35" s="2">
        <f>SUM(AO35:AS35)</f>
        <v/>
      </c>
      <c r="AU35" s="2">
        <f>AI35+AN35+AT35</f>
        <v/>
      </c>
      <c r="AV35" s="17" t="n">
        <v>16950</v>
      </c>
      <c r="AY35" s="17" t="n">
        <v>8307</v>
      </c>
      <c r="AZ35" s="2">
        <f>SUM(AV35:AY35)</f>
        <v/>
      </c>
      <c r="BF35" s="2">
        <f>SUM(BA35:BE35)</f>
        <v/>
      </c>
      <c r="BK35" s="2">
        <f>SUM(BG35:BJ35)</f>
        <v/>
      </c>
      <c r="BL35" s="2">
        <f>AZ35+BF35+BK35</f>
        <v/>
      </c>
      <c r="BQ35" s="2">
        <f>SUM(BM35:BP35)</f>
        <v/>
      </c>
      <c r="BW35" s="2">
        <f>SUM(BR35:BV35)</f>
        <v/>
      </c>
      <c r="CB35" s="2">
        <f>SUM(BX35:CA35)</f>
        <v/>
      </c>
      <c r="CC35" s="2">
        <f>BQ35+BW35+CB35</f>
        <v/>
      </c>
      <c r="CD35" s="2">
        <f>AD35+AU35+BL35+CC35</f>
        <v/>
      </c>
    </row>
    <row r="36">
      <c r="A36" t="inlineStr">
        <is>
          <t>Approved</t>
        </is>
      </c>
      <c r="B36" t="inlineStr">
        <is>
          <t>5.5</t>
        </is>
      </c>
      <c r="C36" t="inlineStr">
        <is>
          <t>Create Draft Plans for Development</t>
        </is>
      </c>
      <c r="D36" t="inlineStr">
        <is>
          <t>Randall</t>
        </is>
      </c>
      <c r="E36" t="inlineStr">
        <is>
          <t>Concessions</t>
        </is>
      </c>
      <c r="F36" t="inlineStr">
        <is>
          <t>SETENA Regional Review</t>
        </is>
      </c>
      <c r="G36" s="2" t="n">
        <v>30000</v>
      </c>
      <c r="H36" s="2" t="n">
        <v>0</v>
      </c>
      <c r="I36" s="2">
        <f>G36+H36</f>
        <v/>
      </c>
      <c r="J36" s="2">
        <f>SUMIF(LEDGER!$A:$A,$B36,LEDGER!$G:$G)</f>
        <v/>
      </c>
      <c r="K36" s="2">
        <f>I36-J36</f>
        <v/>
      </c>
      <c r="L36" s="2">
        <f>J36+CD36</f>
        <v/>
      </c>
      <c r="M36" s="2">
        <f>I36-L36</f>
        <v/>
      </c>
      <c r="N36" s="16" t="n"/>
      <c r="O36" s="16" t="n"/>
      <c r="P36" s="16" t="n"/>
      <c r="Q36" s="16" t="n"/>
      <c r="R36" s="2">
        <f>SUM(N36:Q36)</f>
        <v/>
      </c>
      <c r="S36" s="16" t="n"/>
      <c r="T36" s="16" t="n"/>
      <c r="U36" s="16" t="n"/>
      <c r="V36" s="16" t="n"/>
      <c r="W36" s="2">
        <f>SUM(S36:V36)</f>
        <v/>
      </c>
      <c r="X36" s="16" t="n"/>
      <c r="Y36" s="16" t="n"/>
      <c r="Z36" s="16" t="n"/>
      <c r="AA36" s="16" t="n"/>
      <c r="AB36" s="16" t="n"/>
      <c r="AC36" s="2">
        <f>SUM(X36:AB36)</f>
        <v/>
      </c>
      <c r="AD36" s="2">
        <f>R36+W36+AC36</f>
        <v/>
      </c>
      <c r="AE36" s="16" t="n"/>
      <c r="AF36" s="16" t="n"/>
      <c r="AG36" s="16" t="n"/>
      <c r="AH36" s="16" t="n"/>
      <c r="AI36" s="2">
        <f>SUM(AE36:AH36)</f>
        <v/>
      </c>
      <c r="AJ36" s="16" t="n"/>
      <c r="AN36" s="2">
        <f>SUM(AJ36:AM36)</f>
        <v/>
      </c>
      <c r="AO36" s="17" t="n">
        <v>15000</v>
      </c>
      <c r="AT36" s="2">
        <f>SUM(AO36:AS36)</f>
        <v/>
      </c>
      <c r="AU36" s="2">
        <f>AI36+AN36+AT36</f>
        <v/>
      </c>
      <c r="AX36" s="17" t="n">
        <v>15000</v>
      </c>
      <c r="AZ36" s="2">
        <f>SUM(AV36:AY36)</f>
        <v/>
      </c>
      <c r="BF36" s="2">
        <f>SUM(BA36:BE36)</f>
        <v/>
      </c>
      <c r="BK36" s="2">
        <f>SUM(BG36:BJ36)</f>
        <v/>
      </c>
      <c r="BL36" s="2">
        <f>AZ36+BF36+BK36</f>
        <v/>
      </c>
      <c r="BQ36" s="2">
        <f>SUM(BM36:BP36)</f>
        <v/>
      </c>
      <c r="BW36" s="2">
        <f>SUM(BR36:BV36)</f>
        <v/>
      </c>
      <c r="CB36" s="2">
        <f>SUM(BX36:CA36)</f>
        <v/>
      </c>
      <c r="CC36" s="2">
        <f>BQ36+BW36+CB36</f>
        <v/>
      </c>
      <c r="CD36" s="2">
        <f>AD36+AU36+BL36+CC36</f>
        <v/>
      </c>
    </row>
    <row r="37">
      <c r="A37" t="inlineStr">
        <is>
          <t>In process</t>
        </is>
      </c>
      <c r="B37" t="inlineStr">
        <is>
          <t>5.6</t>
        </is>
      </c>
      <c r="C37" t="inlineStr">
        <is>
          <t>Legal Expenses - Concession MUNI</t>
        </is>
      </c>
      <c r="D37" t="inlineStr">
        <is>
          <t>Herbet</t>
        </is>
      </c>
      <c r="E37" t="inlineStr">
        <is>
          <t>Concessions</t>
        </is>
      </c>
      <c r="F37" t="inlineStr">
        <is>
          <t>SETENA Regional Review</t>
        </is>
      </c>
      <c r="G37" s="2" t="n">
        <v>100000</v>
      </c>
      <c r="H37" s="2" t="n">
        <v>0</v>
      </c>
      <c r="I37" s="2">
        <f>G37+H37</f>
        <v/>
      </c>
      <c r="J37" s="2">
        <f>SUMIF(LEDGER!$A:$A,$B37,LEDGER!$G:$G)</f>
        <v/>
      </c>
      <c r="K37" s="2">
        <f>I37-J37</f>
        <v/>
      </c>
      <c r="L37" s="2">
        <f>J37+CD37</f>
        <v/>
      </c>
      <c r="M37" s="2">
        <f>I37-L37</f>
        <v/>
      </c>
      <c r="N37" s="16" t="n"/>
      <c r="O37" s="16" t="n"/>
      <c r="P37" s="16" t="n"/>
      <c r="Q37" s="16" t="n"/>
      <c r="R37" s="2">
        <f>SUM(N37:Q37)</f>
        <v/>
      </c>
      <c r="S37" s="16" t="n"/>
      <c r="T37" s="16" t="n"/>
      <c r="U37" s="16" t="n"/>
      <c r="V37" s="16" t="n"/>
      <c r="W37" s="2">
        <f>SUM(S37:V37)</f>
        <v/>
      </c>
      <c r="X37" s="16" t="n"/>
      <c r="Y37" s="16" t="n"/>
      <c r="Z37" s="16" t="n"/>
      <c r="AA37" s="16" t="n"/>
      <c r="AB37" s="16" t="n"/>
      <c r="AC37" s="2">
        <f>SUM(X37:AB37)</f>
        <v/>
      </c>
      <c r="AD37" s="2">
        <f>R37+W37+AC37</f>
        <v/>
      </c>
      <c r="AE37" s="16" t="n"/>
      <c r="AF37" s="16" t="n"/>
      <c r="AG37" s="16" t="n"/>
      <c r="AH37" s="16" t="n"/>
      <c r="AI37" s="2">
        <f>SUM(AE37:AH37)</f>
        <v/>
      </c>
      <c r="AJ37" s="16" t="n"/>
      <c r="AN37" s="2">
        <f>SUM(AJ37:AM37)</f>
        <v/>
      </c>
      <c r="AT37" s="2">
        <f>SUM(AO37:AS37)</f>
        <v/>
      </c>
      <c r="AU37" s="2">
        <f>AI37+AN37+AT37</f>
        <v/>
      </c>
      <c r="AZ37" s="2">
        <f>SUM(AV37:AY37)</f>
        <v/>
      </c>
      <c r="BF37" s="2">
        <f>SUM(BA37:BE37)</f>
        <v/>
      </c>
      <c r="BK37" s="2">
        <f>SUM(BG37:BJ37)</f>
        <v/>
      </c>
      <c r="BL37" s="2">
        <f>AZ37+BF37+BK37</f>
        <v/>
      </c>
      <c r="BQ37" s="2">
        <f>SUM(BM37:BP37)</f>
        <v/>
      </c>
      <c r="BR37" s="14" t="n">
        <v>100000</v>
      </c>
      <c r="BW37" s="2">
        <f>SUM(BR37:BV37)</f>
        <v/>
      </c>
      <c r="CB37" s="2">
        <f>SUM(BX37:CA37)</f>
        <v/>
      </c>
      <c r="CC37" s="2">
        <f>BQ37+BW37+CB37</f>
        <v/>
      </c>
      <c r="CD37" s="2">
        <f>AD37+AU37+BL37+CC37</f>
        <v/>
      </c>
    </row>
    <row r="38">
      <c r="A38" t="inlineStr">
        <is>
          <t>Approved</t>
        </is>
      </c>
      <c r="B38" t="inlineStr">
        <is>
          <t>5.7</t>
        </is>
      </c>
      <c r="C38" t="inlineStr">
        <is>
          <t>Legal Expenses - Land Use SINAC</t>
        </is>
      </c>
      <c r="D38" t="inlineStr">
        <is>
          <t>Eduardo</t>
        </is>
      </c>
      <c r="E38" t="inlineStr">
        <is>
          <t>Concessions</t>
        </is>
      </c>
      <c r="F38" t="inlineStr">
        <is>
          <t>SETENA Regional Review</t>
        </is>
      </c>
      <c r="G38" s="2" t="n">
        <v>50000</v>
      </c>
      <c r="H38" s="2" t="n">
        <v>0</v>
      </c>
      <c r="I38" s="2">
        <f>G38+H38</f>
        <v/>
      </c>
      <c r="J38" s="2">
        <f>SUMIF(LEDGER!$A:$A,$B38,LEDGER!$G:$G)</f>
        <v/>
      </c>
      <c r="K38" s="2">
        <f>I38-J38</f>
        <v/>
      </c>
      <c r="L38" s="2">
        <f>J38+CD38</f>
        <v/>
      </c>
      <c r="M38" s="2">
        <f>I38-L38</f>
        <v/>
      </c>
      <c r="N38" s="16" t="n"/>
      <c r="O38" s="16" t="n"/>
      <c r="P38" s="16" t="n"/>
      <c r="Q38" s="16" t="n"/>
      <c r="R38" s="2">
        <f>SUM(N38:Q38)</f>
        <v/>
      </c>
      <c r="S38" s="16" t="n"/>
      <c r="T38" s="16" t="n"/>
      <c r="U38" s="16" t="n"/>
      <c r="V38" s="16" t="n"/>
      <c r="W38" s="2">
        <f>SUM(S38:V38)</f>
        <v/>
      </c>
      <c r="X38" s="16" t="n"/>
      <c r="Y38" s="16" t="n"/>
      <c r="Z38" s="16" t="n"/>
      <c r="AA38" s="16" t="n"/>
      <c r="AB38" s="16" t="n"/>
      <c r="AC38" s="2">
        <f>SUM(X38:AB38)</f>
        <v/>
      </c>
      <c r="AD38" s="2">
        <f>R38+W38+AC38</f>
        <v/>
      </c>
      <c r="AE38" s="16" t="n"/>
      <c r="AF38" s="16" t="n"/>
      <c r="AG38" s="16" t="n"/>
      <c r="AH38" s="16" t="n"/>
      <c r="AI38" s="2">
        <f>SUM(AE38:AH38)</f>
        <v/>
      </c>
      <c r="AJ38" s="16" t="n"/>
      <c r="AM38" s="17" t="n">
        <v>20000</v>
      </c>
      <c r="AN38" s="2">
        <f>SUM(AJ38:AM38)</f>
        <v/>
      </c>
      <c r="AT38" s="2">
        <f>SUM(AO38:AS38)</f>
        <v/>
      </c>
      <c r="AU38" s="2">
        <f>AI38+AN38+AT38</f>
        <v/>
      </c>
      <c r="AY38" s="17" t="n">
        <v>20000</v>
      </c>
      <c r="AZ38" s="2">
        <f>SUM(AV38:AY38)</f>
        <v/>
      </c>
      <c r="BF38" s="2">
        <f>SUM(BA38:BE38)</f>
        <v/>
      </c>
      <c r="BJ38" s="17" t="n">
        <v>10000</v>
      </c>
      <c r="BK38" s="2">
        <f>SUM(BG38:BJ38)</f>
        <v/>
      </c>
      <c r="BL38" s="2">
        <f>AZ38+BF38+BK38</f>
        <v/>
      </c>
      <c r="BQ38" s="2">
        <f>SUM(BM38:BP38)</f>
        <v/>
      </c>
      <c r="BW38" s="2">
        <f>SUM(BR38:BV38)</f>
        <v/>
      </c>
      <c r="CB38" s="2">
        <f>SUM(BX38:CA38)</f>
        <v/>
      </c>
      <c r="CC38" s="2">
        <f>BQ38+BW38+CB38</f>
        <v/>
      </c>
      <c r="CD38" s="2">
        <f>AD38+AU38+BL38+CC38</f>
        <v/>
      </c>
    </row>
    <row r="39">
      <c r="A39" t="inlineStr">
        <is>
          <t>In process</t>
        </is>
      </c>
      <c r="B39" t="inlineStr">
        <is>
          <t>5.8</t>
        </is>
      </c>
      <c r="C39" t="inlineStr">
        <is>
          <t>Legal Expenses - Land Use Concessions (ALTA BATALLA)}</t>
        </is>
      </c>
      <c r="D39" t="inlineStr">
        <is>
          <t>Roberto</t>
        </is>
      </c>
      <c r="E39" t="inlineStr">
        <is>
          <t>Concessions</t>
        </is>
      </c>
      <c r="F39" t="inlineStr">
        <is>
          <t>SETENA Regional Review</t>
        </is>
      </c>
      <c r="G39" s="2" t="n">
        <v>14500</v>
      </c>
      <c r="H39" s="2" t="n">
        <v>0</v>
      </c>
      <c r="I39" s="2">
        <f>G39+H39</f>
        <v/>
      </c>
      <c r="J39" s="2">
        <f>SUMIF(LEDGER!$A:$A,$B39,LEDGER!$G:$G)</f>
        <v/>
      </c>
      <c r="K39" s="2">
        <f>I39-J39</f>
        <v/>
      </c>
      <c r="L39" s="2">
        <f>J39+CD39</f>
        <v/>
      </c>
      <c r="M39" s="2">
        <f>I39-L39</f>
        <v/>
      </c>
      <c r="N39" s="16" t="n"/>
      <c r="O39" s="16" t="n"/>
      <c r="P39" s="16" t="n"/>
      <c r="Q39" s="16" t="n"/>
      <c r="R39" s="2">
        <f>SUM(N39:Q39)</f>
        <v/>
      </c>
      <c r="S39" s="16" t="n"/>
      <c r="T39" s="16" t="n"/>
      <c r="U39" s="16" t="n"/>
      <c r="V39" s="16" t="n"/>
      <c r="W39" s="2">
        <f>SUM(S39:V39)</f>
        <v/>
      </c>
      <c r="X39" s="16" t="n"/>
      <c r="Y39" s="16" t="n"/>
      <c r="Z39" s="16" t="n"/>
      <c r="AA39" s="16" t="n"/>
      <c r="AB39" s="16" t="n"/>
      <c r="AC39" s="2">
        <f>SUM(X39:AB39)</f>
        <v/>
      </c>
      <c r="AD39" s="2">
        <f>R39+W39+AC39</f>
        <v/>
      </c>
      <c r="AE39" s="16" t="n"/>
      <c r="AF39" s="16" t="n"/>
      <c r="AG39" s="16" t="n"/>
      <c r="AH39" s="16" t="n"/>
      <c r="AI39" s="2">
        <f>SUM(AE39:AH39)</f>
        <v/>
      </c>
      <c r="AJ39" s="16" t="n"/>
      <c r="AN39" s="2">
        <f>SUM(AJ39:AM39)</f>
        <v/>
      </c>
      <c r="AO39" s="14" t="n">
        <v>7250</v>
      </c>
      <c r="AT39" s="2">
        <f>SUM(AO39:AS39)</f>
        <v/>
      </c>
      <c r="AU39" s="2">
        <f>AI39+AN39+AT39</f>
        <v/>
      </c>
      <c r="AZ39" s="2">
        <f>SUM(AV39:AY39)</f>
        <v/>
      </c>
      <c r="BF39" s="2">
        <f>SUM(BA39:BE39)</f>
        <v/>
      </c>
      <c r="BK39" s="2">
        <f>SUM(BG39:BJ39)</f>
        <v/>
      </c>
      <c r="BL39" s="2">
        <f>AZ39+BF39+BK39</f>
        <v/>
      </c>
      <c r="BM39" s="14" t="n">
        <v>7250</v>
      </c>
      <c r="BQ39" s="2">
        <f>SUM(BM39:BP39)</f>
        <v/>
      </c>
      <c r="BW39" s="2">
        <f>SUM(BR39:BV39)</f>
        <v/>
      </c>
      <c r="CB39" s="2">
        <f>SUM(BX39:CA39)</f>
        <v/>
      </c>
      <c r="CC39" s="2">
        <f>BQ39+BW39+CB39</f>
        <v/>
      </c>
      <c r="CD39" s="2">
        <f>AD39+AU39+BL39+CC39</f>
        <v/>
      </c>
    </row>
    <row r="40">
      <c r="A40" t="inlineStr">
        <is>
          <t>Approved</t>
        </is>
      </c>
      <c r="B40" t="inlineStr">
        <is>
          <t>8.3</t>
        </is>
      </c>
      <c r="C40" t="inlineStr">
        <is>
          <t>Finalize Creation of Concessions</t>
        </is>
      </c>
      <c r="D40" t="inlineStr">
        <is>
          <t>Blake</t>
        </is>
      </c>
      <c r="E40" t="inlineStr">
        <is>
          <t>Concessions</t>
        </is>
      </c>
      <c r="G40" s="2" t="n">
        <v>42374.99999999999</v>
      </c>
      <c r="H40" s="2" t="n">
        <v>0</v>
      </c>
      <c r="I40" s="2">
        <f>G40+H40</f>
        <v/>
      </c>
      <c r="J40" s="2">
        <f>SUMIF(LEDGER!$A:$A,$B40,LEDGER!$G:$G)</f>
        <v/>
      </c>
      <c r="K40" s="2">
        <f>I40-J40</f>
        <v/>
      </c>
      <c r="L40" s="2">
        <f>J40+CD40</f>
        <v/>
      </c>
      <c r="M40" s="2">
        <f>I40-L40</f>
        <v/>
      </c>
      <c r="R40" s="2">
        <f>SUM(N40:Q40)</f>
        <v/>
      </c>
      <c r="W40" s="2">
        <f>SUM(S40:V40)</f>
        <v/>
      </c>
      <c r="AC40" s="2">
        <f>SUM(X40:AB40)</f>
        <v/>
      </c>
      <c r="AD40" s="2">
        <f>R40+W40+AC40</f>
        <v/>
      </c>
      <c r="AI40" s="2">
        <f>SUM(AE40:AH40)</f>
        <v/>
      </c>
      <c r="AN40" s="2">
        <f>SUM(AJ40:AM40)</f>
        <v/>
      </c>
      <c r="AT40" s="2">
        <f>SUM(AO40:AS40)</f>
        <v/>
      </c>
      <c r="AU40" s="2">
        <f>AI40+AN40+AT40</f>
        <v/>
      </c>
      <c r="AZ40" s="2">
        <f>SUM(AV40:AY40)</f>
        <v/>
      </c>
      <c r="BF40" s="2">
        <f>SUM(BA40:BE40)</f>
        <v/>
      </c>
      <c r="BK40" s="2">
        <f>SUM(BG40:BJ40)</f>
        <v/>
      </c>
      <c r="BL40" s="2">
        <f>AZ40+BF40+BK40</f>
        <v/>
      </c>
      <c r="BQ40" s="2">
        <f>SUM(BM40:BP40)</f>
        <v/>
      </c>
      <c r="BW40" s="2">
        <f>SUM(BR40:BV40)</f>
        <v/>
      </c>
      <c r="CA40" s="17" t="n">
        <v>42375</v>
      </c>
      <c r="CB40" s="2">
        <f>SUM(BX40:CA40)</f>
        <v/>
      </c>
      <c r="CC40" s="2">
        <f>BQ40+BW40+CB40</f>
        <v/>
      </c>
      <c r="CD40" s="2">
        <f>AD40+AU40+BL40+CC40</f>
        <v/>
      </c>
    </row>
    <row r="41">
      <c r="A41" s="10" t="n"/>
      <c r="B41" s="10" t="n"/>
      <c r="C41" s="11" t="inlineStr">
        <is>
          <t>TOTAL Concessions</t>
        </is>
      </c>
      <c r="D41" s="10" t="n"/>
      <c r="E41" s="10" t="n"/>
      <c r="F41" s="10" t="n"/>
      <c r="G41" s="15">
        <f>G32+G33+G34+G35+G36+G37+G38+G39+G40</f>
        <v/>
      </c>
      <c r="H41" s="15">
        <f>H32+H33+H34+H35+H36+H37+H38+H39+H40</f>
        <v/>
      </c>
      <c r="I41" s="15">
        <f>I32+I33+I34+I35+I36+I37+I38+I39+I40</f>
        <v/>
      </c>
      <c r="J41" s="15">
        <f>J32+J33+J34+J35+J36+J37+J38+J39+J40</f>
        <v/>
      </c>
      <c r="K41" s="15">
        <f>K32+K33+K34+K35+K36+K37+K38+K39+K40</f>
        <v/>
      </c>
      <c r="L41" s="15">
        <f>L32+L33+L34+L35+L36+L37+L38+L39+L40</f>
        <v/>
      </c>
      <c r="M41" s="15">
        <f>M32+M33+M34+M35+M36+M37+M38+M39+M40</f>
        <v/>
      </c>
      <c r="N41" s="10" t="n"/>
      <c r="O41" s="10" t="n"/>
      <c r="P41" s="10" t="n"/>
      <c r="Q41" s="10" t="n"/>
      <c r="R41" s="15">
        <f>R32+R33+R34+R35+R36+R37+R38+R39+R40</f>
        <v/>
      </c>
      <c r="S41" s="10" t="n"/>
      <c r="T41" s="10" t="n"/>
      <c r="U41" s="10" t="n"/>
      <c r="V41" s="10" t="n"/>
      <c r="W41" s="15">
        <f>W32+W33+W34+W35+W36+W37+W38+W39+W40</f>
        <v/>
      </c>
      <c r="X41" s="10" t="n"/>
      <c r="Y41" s="10" t="n"/>
      <c r="Z41" s="10" t="n"/>
      <c r="AA41" s="10" t="n"/>
      <c r="AB41" s="10" t="n"/>
      <c r="AC41" s="15">
        <f>AC32+AC33+AC34+AC35+AC36+AC37+AC38+AC39+AC40</f>
        <v/>
      </c>
      <c r="AD41" s="15">
        <f>AD32+AD33+AD34+AD35+AD36+AD37+AD38+AD39+AD40</f>
        <v/>
      </c>
      <c r="AE41" s="10" t="n"/>
      <c r="AF41" s="10" t="n"/>
      <c r="AG41" s="10" t="n"/>
      <c r="AH41" s="10" t="n"/>
      <c r="AI41" s="15">
        <f>AI32+AI33+AI34+AI35+AI36+AI37+AI38+AI39+AI40</f>
        <v/>
      </c>
      <c r="AJ41" s="10" t="n"/>
      <c r="AK41" s="10" t="n"/>
      <c r="AL41" s="10" t="n"/>
      <c r="AM41" s="10" t="n"/>
      <c r="AN41" s="15">
        <f>AN32+AN33+AN34+AN35+AN36+AN37+AN38+AN39+AN40</f>
        <v/>
      </c>
      <c r="AO41" s="10" t="n"/>
      <c r="AP41" s="10" t="n"/>
      <c r="AQ41" s="10" t="n"/>
      <c r="AR41" s="10" t="n"/>
      <c r="AS41" s="10" t="n"/>
      <c r="AT41" s="15">
        <f>AT32+AT33+AT34+AT35+AT36+AT37+AT38+AT39+AT40</f>
        <v/>
      </c>
      <c r="AU41" s="15">
        <f>AU32+AU33+AU34+AU35+AU36+AU37+AU38+AU39+AU40</f>
        <v/>
      </c>
      <c r="AV41" s="10" t="n"/>
      <c r="AW41" s="10" t="n"/>
      <c r="AX41" s="10" t="n"/>
      <c r="AY41" s="10" t="n"/>
      <c r="AZ41" s="15">
        <f>AZ32+AZ33+AZ34+AZ35+AZ36+AZ37+AZ38+AZ39+AZ40</f>
        <v/>
      </c>
      <c r="BA41" s="10" t="n"/>
      <c r="BB41" s="10" t="n"/>
      <c r="BC41" s="10" t="n"/>
      <c r="BD41" s="10" t="n"/>
      <c r="BE41" s="10" t="n"/>
      <c r="BF41" s="15">
        <f>BF32+BF33+BF34+BF35+BF36+BF37+BF38+BF39+BF40</f>
        <v/>
      </c>
      <c r="BG41" s="10" t="n"/>
      <c r="BH41" s="10" t="n"/>
      <c r="BI41" s="10" t="n"/>
      <c r="BJ41" s="10" t="n"/>
      <c r="BK41" s="15">
        <f>BK32+BK33+BK34+BK35+BK36+BK37+BK38+BK39+BK40</f>
        <v/>
      </c>
      <c r="BL41" s="15">
        <f>BL32+BL33+BL34+BL35+BL36+BL37+BL38+BL39+BL40</f>
        <v/>
      </c>
      <c r="BM41" s="10" t="n"/>
      <c r="BN41" s="10" t="n"/>
      <c r="BO41" s="10" t="n"/>
      <c r="BP41" s="10" t="n"/>
      <c r="BQ41" s="15">
        <f>BQ32+BQ33+BQ34+BQ35+BQ36+BQ37+BQ38+BQ39+BQ40</f>
        <v/>
      </c>
      <c r="BR41" s="10" t="n"/>
      <c r="BS41" s="10" t="n"/>
      <c r="BT41" s="10" t="n"/>
      <c r="BU41" s="10" t="n"/>
      <c r="BV41" s="10" t="n"/>
      <c r="BW41" s="15">
        <f>BW32+BW33+BW34+BW35+BW36+BW37+BW38+BW39+BW40</f>
        <v/>
      </c>
      <c r="BX41" s="10" t="n"/>
      <c r="BY41" s="10" t="n"/>
      <c r="BZ41" s="10" t="n"/>
      <c r="CA41" s="10" t="n"/>
      <c r="CB41" s="15">
        <f>CB32+CB33+CB34+CB35+CB36+CB37+CB38+CB39+CB40</f>
        <v/>
      </c>
      <c r="CC41" s="15">
        <f>CC32+CC33+CC34+CC35+CC36+CC37+CC38+CC39+CC40</f>
        <v/>
      </c>
      <c r="CD41" s="15">
        <f>CD32+CD33+CD34+CD35+CD36+CD37+CD38+CD39+CD40</f>
        <v/>
      </c>
    </row>
    <row r="42">
      <c r="A42" s="12" t="inlineStr">
        <is>
          <t>OVERHEAD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  <c r="AX42" s="13" t="n"/>
      <c r="AY42" s="13" t="n"/>
      <c r="AZ42" s="13" t="n"/>
      <c r="BA42" s="13" t="n"/>
      <c r="BB42" s="13" t="n"/>
      <c r="BC42" s="13" t="n"/>
      <c r="BD42" s="13" t="n"/>
      <c r="BE42" s="13" t="n"/>
      <c r="BF42" s="13" t="n"/>
      <c r="BG42" s="13" t="n"/>
      <c r="BH42" s="13" t="n"/>
      <c r="BI42" s="13" t="n"/>
      <c r="BJ42" s="13" t="n"/>
      <c r="BK42" s="13" t="n"/>
      <c r="BL42" s="13" t="n"/>
      <c r="BM42" s="13" t="n"/>
      <c r="BN42" s="13" t="n"/>
      <c r="BO42" s="13" t="n"/>
      <c r="BP42" s="13" t="n"/>
      <c r="BQ42" s="13" t="n"/>
      <c r="BR42" s="13" t="n"/>
      <c r="BS42" s="13" t="n"/>
      <c r="BT42" s="13" t="n"/>
      <c r="BU42" s="13" t="n"/>
      <c r="BV42" s="13" t="n"/>
      <c r="BW42" s="13" t="n"/>
      <c r="BX42" s="13" t="n"/>
      <c r="BY42" s="13" t="n"/>
      <c r="BZ42" s="13" t="n"/>
      <c r="CA42" s="13" t="n"/>
      <c r="CB42" s="13" t="n"/>
      <c r="CC42" s="13" t="n"/>
      <c r="CD42" s="13" t="n"/>
    </row>
    <row r="43">
      <c r="A43" t="inlineStr">
        <is>
          <t>Approved</t>
        </is>
      </c>
      <c r="B43" t="inlineStr">
        <is>
          <t>0.1</t>
        </is>
      </c>
      <c r="C43" t="inlineStr">
        <is>
          <t>Property Interest</t>
        </is>
      </c>
      <c r="D43" t="inlineStr">
        <is>
          <t>Partnership</t>
        </is>
      </c>
      <c r="E43" t="inlineStr">
        <is>
          <t>Overhead</t>
        </is>
      </c>
      <c r="F43" t="inlineStr">
        <is>
          <t>Phase 2</t>
        </is>
      </c>
      <c r="G43" s="2" t="n">
        <v>787500</v>
      </c>
      <c r="H43" s="2" t="n">
        <v>0</v>
      </c>
      <c r="I43" s="2">
        <f>G43+H43</f>
        <v/>
      </c>
      <c r="J43" s="2">
        <f>SUMIF(LEDGER!$A:$A,$B43,LEDGER!$G:$G)</f>
        <v/>
      </c>
      <c r="K43" s="2">
        <f>I43-J43</f>
        <v/>
      </c>
      <c r="L43" s="2">
        <f>J43+CD43</f>
        <v/>
      </c>
      <c r="M43" s="2">
        <f>I43-L43</f>
        <v/>
      </c>
      <c r="R43" s="2">
        <f>SUM(N43:Q43)</f>
        <v/>
      </c>
      <c r="W43" s="2">
        <f>SUM(S43:V43)</f>
        <v/>
      </c>
      <c r="AC43" s="2">
        <f>SUM(X43:AB43)</f>
        <v/>
      </c>
      <c r="AD43" s="2">
        <f>R43+W43+AC43</f>
        <v/>
      </c>
      <c r="AI43" s="2">
        <f>SUM(AE43:AH43)</f>
        <v/>
      </c>
      <c r="AN43" s="2">
        <f>SUM(AJ43:AM43)</f>
        <v/>
      </c>
      <c r="AT43" s="2">
        <f>SUM(AO43:AS43)</f>
        <v/>
      </c>
      <c r="AU43" s="2">
        <f>AI43+AN43+AT43</f>
        <v/>
      </c>
      <c r="AZ43" s="2">
        <f>SUM(AV43:AY43)</f>
        <v/>
      </c>
      <c r="BF43" s="2">
        <f>SUM(BA43:BE43)</f>
        <v/>
      </c>
      <c r="BJ43" s="17" t="n">
        <v>337500</v>
      </c>
      <c r="BK43" s="2">
        <f>SUM(BG43:BJ43)</f>
        <v/>
      </c>
      <c r="BL43" s="2">
        <f>AZ43+BF43+BK43</f>
        <v/>
      </c>
      <c r="BQ43" s="2">
        <f>SUM(BM43:BP43)</f>
        <v/>
      </c>
      <c r="BW43" s="2">
        <f>SUM(BR43:BV43)</f>
        <v/>
      </c>
      <c r="CB43" s="2">
        <f>SUM(BX43:CA43)</f>
        <v/>
      </c>
      <c r="CC43" s="2">
        <f>BQ43+BW43+CB43</f>
        <v/>
      </c>
      <c r="CD43" s="2">
        <f>AD43+AU43+BL43+CC43</f>
        <v/>
      </c>
    </row>
    <row r="44">
      <c r="A44" t="inlineStr">
        <is>
          <t>Approved</t>
        </is>
      </c>
      <c r="B44" t="inlineStr">
        <is>
          <t>0.1.1</t>
        </is>
      </c>
      <c r="C44" t="inlineStr">
        <is>
          <t>Insurance</t>
        </is>
      </c>
      <c r="D44" t="inlineStr">
        <is>
          <t>Partnership</t>
        </is>
      </c>
      <c r="E44" t="inlineStr">
        <is>
          <t>Overhead</t>
        </is>
      </c>
      <c r="F44" t="inlineStr">
        <is>
          <t>Phase 2</t>
        </is>
      </c>
      <c r="G44" s="2" t="n">
        <v>20000</v>
      </c>
      <c r="H44" s="2" t="n">
        <v>0</v>
      </c>
      <c r="I44" s="2">
        <f>G44+H44</f>
        <v/>
      </c>
      <c r="J44" s="2">
        <f>SUMIF(LEDGER!$A:$A,$B44,LEDGER!$G:$G)</f>
        <v/>
      </c>
      <c r="K44" s="2">
        <f>I44-J44</f>
        <v/>
      </c>
      <c r="L44" s="2">
        <f>J44+CD44</f>
        <v/>
      </c>
      <c r="M44" s="2">
        <f>I44-L44</f>
        <v/>
      </c>
      <c r="R44" s="2">
        <f>SUM(N44:Q44)</f>
        <v/>
      </c>
      <c r="W44" s="2">
        <f>SUM(S44:V44)</f>
        <v/>
      </c>
      <c r="AC44" s="2">
        <f>SUM(X44:AB44)</f>
        <v/>
      </c>
      <c r="AD44" s="2">
        <f>R44+W44+AC44</f>
        <v/>
      </c>
      <c r="AI44" s="2">
        <f>SUM(AE44:AH44)</f>
        <v/>
      </c>
      <c r="AN44" s="2">
        <f>SUM(AJ44:AM44)</f>
        <v/>
      </c>
      <c r="AT44" s="2">
        <f>SUM(AO44:AS44)</f>
        <v/>
      </c>
      <c r="AU44" s="2">
        <f>AI44+AN44+AT44</f>
        <v/>
      </c>
      <c r="AZ44" s="2">
        <f>SUM(AV44:AY44)</f>
        <v/>
      </c>
      <c r="BF44" s="2">
        <f>SUM(BA44:BE44)</f>
        <v/>
      </c>
      <c r="BJ44" s="17" t="n">
        <v>20000</v>
      </c>
      <c r="BK44" s="2">
        <f>SUM(BG44:BJ44)</f>
        <v/>
      </c>
      <c r="BL44" s="2">
        <f>AZ44+BF44+BK44</f>
        <v/>
      </c>
      <c r="BQ44" s="2">
        <f>SUM(BM44:BP44)</f>
        <v/>
      </c>
      <c r="BW44" s="2">
        <f>SUM(BR44:BV44)</f>
        <v/>
      </c>
      <c r="CB44" s="2">
        <f>SUM(BX44:CA44)</f>
        <v/>
      </c>
      <c r="CC44" s="2">
        <f>BQ44+BW44+CB44</f>
        <v/>
      </c>
      <c r="CD44" s="2">
        <f>AD44+AU44+BL44+CC44</f>
        <v/>
      </c>
    </row>
    <row r="45">
      <c r="A45" t="inlineStr">
        <is>
          <t>Attention</t>
        </is>
      </c>
      <c r="B45" t="inlineStr">
        <is>
          <t>0.1.2</t>
        </is>
      </c>
      <c r="C45" t="inlineStr">
        <is>
          <t>Titled Property Annual Taxes</t>
        </is>
      </c>
      <c r="D45" t="inlineStr">
        <is>
          <t>Partnership</t>
        </is>
      </c>
      <c r="E45" t="inlineStr">
        <is>
          <t>Overhead</t>
        </is>
      </c>
      <c r="F45" t="inlineStr">
        <is>
          <t>Phase 2</t>
        </is>
      </c>
      <c r="G45" s="2" t="n">
        <v>75000</v>
      </c>
      <c r="H45" s="2" t="n">
        <v>0</v>
      </c>
      <c r="I45" s="2">
        <f>G45+H45</f>
        <v/>
      </c>
      <c r="J45" s="2">
        <f>SUMIF(LEDGER!$A:$A,$B45,LEDGER!$G:$G)</f>
        <v/>
      </c>
      <c r="K45" s="2">
        <f>I45-J45</f>
        <v/>
      </c>
      <c r="L45" s="2">
        <f>J45+CD45</f>
        <v/>
      </c>
      <c r="M45" s="2">
        <f>I45-L45</f>
        <v/>
      </c>
      <c r="R45" s="2">
        <f>SUM(N45:Q45)</f>
        <v/>
      </c>
      <c r="V45" s="18" t="n">
        <v>37500</v>
      </c>
      <c r="W45" s="2">
        <f>SUM(S45:V45)</f>
        <v/>
      </c>
      <c r="AC45" s="2">
        <f>SUM(X45:AB45)</f>
        <v/>
      </c>
      <c r="AD45" s="2">
        <f>R45+W45+AC45</f>
        <v/>
      </c>
      <c r="AI45" s="2">
        <f>SUM(AE45:AH45)</f>
        <v/>
      </c>
      <c r="AN45" s="2">
        <f>SUM(AJ45:AM45)</f>
        <v/>
      </c>
      <c r="AT45" s="2">
        <f>SUM(AO45:AS45)</f>
        <v/>
      </c>
      <c r="AU45" s="2">
        <f>AI45+AN45+AT45</f>
        <v/>
      </c>
      <c r="AZ45" s="2">
        <f>SUM(AV45:AY45)</f>
        <v/>
      </c>
      <c r="BF45" s="2">
        <f>SUM(BA45:BE45)</f>
        <v/>
      </c>
      <c r="BJ45" s="18" t="n">
        <v>37500</v>
      </c>
      <c r="BK45" s="2">
        <f>SUM(BG45:BJ45)</f>
        <v/>
      </c>
      <c r="BL45" s="2">
        <f>AZ45+BF45+BK45</f>
        <v/>
      </c>
      <c r="BQ45" s="2">
        <f>SUM(BM45:BP45)</f>
        <v/>
      </c>
      <c r="BW45" s="2">
        <f>SUM(BR45:BV45)</f>
        <v/>
      </c>
      <c r="CB45" s="2">
        <f>SUM(BX45:CA45)</f>
        <v/>
      </c>
      <c r="CC45" s="2">
        <f>BQ45+BW45+CB45</f>
        <v/>
      </c>
      <c r="CD45" s="2">
        <f>AD45+AU45+BL45+CC45</f>
        <v/>
      </c>
    </row>
    <row r="46">
      <c r="A46" t="inlineStr">
        <is>
          <t>Attention</t>
        </is>
      </c>
      <c r="B46" t="inlineStr">
        <is>
          <t>0.1.3</t>
        </is>
      </c>
      <c r="C46" t="inlineStr">
        <is>
          <t>Holding Corporation Taxes</t>
        </is>
      </c>
      <c r="D46" t="inlineStr">
        <is>
          <t>Partnership</t>
        </is>
      </c>
      <c r="E46" t="inlineStr">
        <is>
          <t>Overhead</t>
        </is>
      </c>
      <c r="F46" t="inlineStr">
        <is>
          <t>Phase 2</t>
        </is>
      </c>
      <c r="G46" s="2" t="n">
        <v>12600</v>
      </c>
      <c r="H46" s="2" t="n">
        <v>0</v>
      </c>
      <c r="I46" s="2">
        <f>G46+H46</f>
        <v/>
      </c>
      <c r="J46" s="2">
        <f>SUMIF(LEDGER!$A:$A,$B46,LEDGER!$G:$G)</f>
        <v/>
      </c>
      <c r="K46" s="2">
        <f>I46-J46</f>
        <v/>
      </c>
      <c r="L46" s="2">
        <f>J46+CD46</f>
        <v/>
      </c>
      <c r="M46" s="2">
        <f>I46-L46</f>
        <v/>
      </c>
      <c r="R46" s="2">
        <f>SUM(N46:Q46)</f>
        <v/>
      </c>
      <c r="V46" s="18" t="n">
        <v>6300</v>
      </c>
      <c r="W46" s="2">
        <f>SUM(S46:V46)</f>
        <v/>
      </c>
      <c r="AC46" s="2">
        <f>SUM(X46:AB46)</f>
        <v/>
      </c>
      <c r="AD46" s="2">
        <f>R46+W46+AC46</f>
        <v/>
      </c>
      <c r="AI46" s="2">
        <f>SUM(AE46:AH46)</f>
        <v/>
      </c>
      <c r="AN46" s="2">
        <f>SUM(AJ46:AM46)</f>
        <v/>
      </c>
      <c r="AT46" s="2">
        <f>SUM(AO46:AS46)</f>
        <v/>
      </c>
      <c r="AU46" s="2">
        <f>AI46+AN46+AT46</f>
        <v/>
      </c>
      <c r="AZ46" s="2">
        <f>SUM(AV46:AY46)</f>
        <v/>
      </c>
      <c r="BF46" s="2">
        <f>SUM(BA46:BE46)</f>
        <v/>
      </c>
      <c r="BJ46" s="18" t="n">
        <v>6300</v>
      </c>
      <c r="BK46" s="2">
        <f>SUM(BG46:BJ46)</f>
        <v/>
      </c>
      <c r="BL46" s="2">
        <f>AZ46+BF46+BK46</f>
        <v/>
      </c>
      <c r="BQ46" s="2">
        <f>SUM(BM46:BP46)</f>
        <v/>
      </c>
      <c r="BW46" s="2">
        <f>SUM(BR46:BV46)</f>
        <v/>
      </c>
      <c r="CB46" s="2">
        <f>SUM(BX46:CA46)</f>
        <v/>
      </c>
      <c r="CC46" s="2">
        <f>BQ46+BW46+CB46</f>
        <v/>
      </c>
      <c r="CD46" s="2">
        <f>AD46+AU46+BL46+CC46</f>
        <v/>
      </c>
    </row>
    <row r="47">
      <c r="A47" t="inlineStr">
        <is>
          <t>Approved</t>
        </is>
      </c>
      <c r="B47" t="inlineStr">
        <is>
          <t>0.2</t>
        </is>
      </c>
      <c r="C47" t="inlineStr">
        <is>
          <t>Concession/Land Use Leases</t>
        </is>
      </c>
      <c r="D47" t="inlineStr">
        <is>
          <t>Partnership</t>
        </is>
      </c>
      <c r="E47" t="inlineStr">
        <is>
          <t>Overhead</t>
        </is>
      </c>
      <c r="F47" t="inlineStr">
        <is>
          <t>Phase 2</t>
        </is>
      </c>
      <c r="G47" s="2" t="n">
        <v>87000</v>
      </c>
      <c r="H47" s="2" t="n">
        <v>0</v>
      </c>
      <c r="I47" s="2">
        <f>G47+H47</f>
        <v/>
      </c>
      <c r="J47" s="2">
        <f>SUMIF(LEDGER!$A:$A,$B47,LEDGER!$G:$G)</f>
        <v/>
      </c>
      <c r="K47" s="2">
        <f>I47-J47</f>
        <v/>
      </c>
      <c r="L47" s="2">
        <f>J47+CD47</f>
        <v/>
      </c>
      <c r="M47" s="2">
        <f>I47-L47</f>
        <v/>
      </c>
      <c r="R47" s="2">
        <f>SUM(N47:Q47)</f>
        <v/>
      </c>
      <c r="W47" s="2">
        <f>SUM(S47:V47)</f>
        <v/>
      </c>
      <c r="AA47" s="16" t="n"/>
      <c r="AC47" s="2">
        <f>SUM(X47:AB47)</f>
        <v/>
      </c>
      <c r="AD47" s="2">
        <f>R47+W47+AC47</f>
        <v/>
      </c>
      <c r="AI47" s="2">
        <f>SUM(AE47:AH47)</f>
        <v/>
      </c>
      <c r="AM47" s="17" t="n">
        <v>4492.5</v>
      </c>
      <c r="AN47" s="2">
        <f>SUM(AJ47:AM47)</f>
        <v/>
      </c>
      <c r="AT47" s="2">
        <f>SUM(AO47:AS47)</f>
        <v/>
      </c>
      <c r="AU47" s="2">
        <f>AI47+AN47+AT47</f>
        <v/>
      </c>
      <c r="AZ47" s="2">
        <f>SUM(AV47:AY47)</f>
        <v/>
      </c>
      <c r="BF47" s="2">
        <f>SUM(BA47:BE47)</f>
        <v/>
      </c>
      <c r="BK47" s="2">
        <f>SUM(BG47:BJ47)</f>
        <v/>
      </c>
      <c r="BL47" s="2">
        <f>AZ47+BF47+BK47</f>
        <v/>
      </c>
      <c r="BQ47" s="2">
        <f>SUM(BM47:BP47)</f>
        <v/>
      </c>
      <c r="BW47" s="2">
        <f>SUM(BR47:BV47)</f>
        <v/>
      </c>
      <c r="CB47" s="2">
        <f>SUM(BX47:CA47)</f>
        <v/>
      </c>
      <c r="CC47" s="2">
        <f>BQ47+BW47+CB47</f>
        <v/>
      </c>
      <c r="CD47" s="2">
        <f>AD47+AU47+BL47+CC47</f>
        <v/>
      </c>
    </row>
    <row r="48">
      <c r="A48" t="inlineStr">
        <is>
          <t>Attention</t>
        </is>
      </c>
      <c r="B48" t="inlineStr">
        <is>
          <t>0.3</t>
        </is>
      </c>
      <c r="C48" t="inlineStr">
        <is>
          <t>Escrow and Legal Fees</t>
        </is>
      </c>
      <c r="D48" t="inlineStr">
        <is>
          <t>Sergio Amador</t>
        </is>
      </c>
      <c r="E48" t="inlineStr">
        <is>
          <t>Overhead</t>
        </is>
      </c>
      <c r="F48" t="inlineStr">
        <is>
          <t>Phase 2</t>
        </is>
      </c>
      <c r="G48" s="2" t="n">
        <v>40000</v>
      </c>
      <c r="H48" s="2" t="n">
        <v>10795.05</v>
      </c>
      <c r="I48" s="2">
        <f>G48+H48</f>
        <v/>
      </c>
      <c r="J48" s="2">
        <f>SUMIF(LEDGER!$A:$A,$B48,LEDGER!$G:$G)</f>
        <v/>
      </c>
      <c r="K48" s="2">
        <f>I48-J48</f>
        <v/>
      </c>
      <c r="L48" s="2">
        <f>J48+CD48</f>
        <v/>
      </c>
      <c r="M48" s="2">
        <f>I48-L48</f>
        <v/>
      </c>
      <c r="R48" s="2">
        <f>SUM(N48:Q48)</f>
        <v/>
      </c>
      <c r="W48" s="2">
        <f>SUM(S48:V48)</f>
        <v/>
      </c>
      <c r="AA48" s="16" t="n"/>
      <c r="AC48" s="2">
        <f>SUM(X48:AB48)</f>
        <v/>
      </c>
      <c r="AD48" s="2">
        <f>R48+W48+AC48</f>
        <v/>
      </c>
      <c r="AI48" s="2">
        <f>SUM(AE48:AH48)</f>
        <v/>
      </c>
      <c r="AN48" s="2">
        <f>SUM(AJ48:AM48)</f>
        <v/>
      </c>
      <c r="AT48" s="2">
        <f>SUM(AO48:AS48)</f>
        <v/>
      </c>
      <c r="AU48" s="2">
        <f>AI48+AN48+AT48</f>
        <v/>
      </c>
      <c r="AZ48" s="2">
        <f>SUM(AV48:AY48)</f>
        <v/>
      </c>
      <c r="BF48" s="2">
        <f>SUM(BA48:BE48)</f>
        <v/>
      </c>
      <c r="BK48" s="2">
        <f>SUM(BG48:BJ48)</f>
        <v/>
      </c>
      <c r="BL48" s="2">
        <f>AZ48+BF48+BK48</f>
        <v/>
      </c>
      <c r="BQ48" s="2">
        <f>SUM(BM48:BP48)</f>
        <v/>
      </c>
      <c r="BW48" s="2">
        <f>SUM(BR48:BV48)</f>
        <v/>
      </c>
      <c r="CB48" s="2">
        <f>SUM(BX48:CA48)</f>
        <v/>
      </c>
      <c r="CC48" s="2">
        <f>BQ48+BW48+CB48</f>
        <v/>
      </c>
      <c r="CD48" s="2">
        <f>AD48+AU48+BL48+CC48</f>
        <v/>
      </c>
    </row>
    <row r="49">
      <c r="A49" t="inlineStr">
        <is>
          <t>Attention</t>
        </is>
      </c>
      <c r="B49" t="inlineStr">
        <is>
          <t>0.3.1</t>
        </is>
      </c>
      <c r="C49" t="inlineStr">
        <is>
          <t>Corporation Management</t>
        </is>
      </c>
      <c r="D49" t="inlineStr">
        <is>
          <t>Sergio Amador</t>
        </is>
      </c>
      <c r="E49" t="inlineStr">
        <is>
          <t>Overhead</t>
        </is>
      </c>
      <c r="F49" t="inlineStr">
        <is>
          <t>Phase 2</t>
        </is>
      </c>
      <c r="G49" s="2" t="n">
        <v>15000</v>
      </c>
      <c r="H49" s="2" t="n">
        <v>4686.1</v>
      </c>
      <c r="I49" s="2">
        <f>G49+H49</f>
        <v/>
      </c>
      <c r="J49" s="2">
        <f>SUMIF(LEDGER!$A:$A,$B49,LEDGER!$G:$G)</f>
        <v/>
      </c>
      <c r="K49" s="2">
        <f>I49-J49</f>
        <v/>
      </c>
      <c r="L49" s="2">
        <f>J49+CD49</f>
        <v/>
      </c>
      <c r="M49" s="2">
        <f>I49-L49</f>
        <v/>
      </c>
      <c r="R49" s="2">
        <f>SUM(N49:Q49)</f>
        <v/>
      </c>
      <c r="W49" s="2">
        <f>SUM(S49:V49)</f>
        <v/>
      </c>
      <c r="AA49" s="16" t="n"/>
      <c r="AC49" s="2">
        <f>SUM(X49:AB49)</f>
        <v/>
      </c>
      <c r="AD49" s="2">
        <f>R49+W49+AC49</f>
        <v/>
      </c>
      <c r="AI49" s="2">
        <f>SUM(AE49:AH49)</f>
        <v/>
      </c>
      <c r="AN49" s="2">
        <f>SUM(AJ49:AM49)</f>
        <v/>
      </c>
      <c r="AT49" s="2">
        <f>SUM(AO49:AS49)</f>
        <v/>
      </c>
      <c r="AU49" s="2">
        <f>AI49+AN49+AT49</f>
        <v/>
      </c>
      <c r="AZ49" s="2">
        <f>SUM(AV49:AY49)</f>
        <v/>
      </c>
      <c r="BF49" s="2">
        <f>SUM(BA49:BE49)</f>
        <v/>
      </c>
      <c r="BK49" s="2">
        <f>SUM(BG49:BJ49)</f>
        <v/>
      </c>
      <c r="BL49" s="2">
        <f>AZ49+BF49+BK49</f>
        <v/>
      </c>
      <c r="BQ49" s="2">
        <f>SUM(BM49:BP49)</f>
        <v/>
      </c>
      <c r="BW49" s="2">
        <f>SUM(BR49:BV49)</f>
        <v/>
      </c>
      <c r="CB49" s="2">
        <f>SUM(BX49:CA49)</f>
        <v/>
      </c>
      <c r="CC49" s="2">
        <f>BQ49+BW49+CB49</f>
        <v/>
      </c>
      <c r="CD49" s="2">
        <f>AD49+AU49+BL49+CC49</f>
        <v/>
      </c>
    </row>
    <row r="50">
      <c r="A50" t="inlineStr">
        <is>
          <t>Attention</t>
        </is>
      </c>
      <c r="B50" t="inlineStr">
        <is>
          <t>0.4</t>
        </is>
      </c>
      <c r="C50" t="inlineStr">
        <is>
          <t>Admin Fee Budget + Financial Controller 25% Salary</t>
        </is>
      </c>
      <c r="D50" t="inlineStr">
        <is>
          <t>Partnership</t>
        </is>
      </c>
      <c r="E50" t="inlineStr">
        <is>
          <t>Overhead</t>
        </is>
      </c>
      <c r="F50" t="inlineStr">
        <is>
          <t>Phase 2</t>
        </is>
      </c>
      <c r="G50" s="2" t="n">
        <v>86250</v>
      </c>
      <c r="H50" s="2" t="n">
        <v>7500</v>
      </c>
      <c r="I50" s="2">
        <f>G50+H50</f>
        <v/>
      </c>
      <c r="J50" s="2">
        <f>SUMIF(LEDGER!$A:$A,$B50,LEDGER!$G:$G)</f>
        <v/>
      </c>
      <c r="K50" s="2">
        <f>I50-J50</f>
        <v/>
      </c>
      <c r="L50" s="2">
        <f>J50+CD50</f>
        <v/>
      </c>
      <c r="M50" s="2">
        <f>I50-L50</f>
        <v/>
      </c>
      <c r="Q50" s="18" t="n">
        <v>3750</v>
      </c>
      <c r="R50" s="2">
        <f>SUM(N50:Q50)</f>
        <v/>
      </c>
      <c r="V50" s="18" t="n">
        <v>3750</v>
      </c>
      <c r="W50" s="2">
        <f>SUM(S50:V50)</f>
        <v/>
      </c>
      <c r="AA50" s="18" t="n">
        <v>3750</v>
      </c>
      <c r="AC50" s="2">
        <f>SUM(X50:AB50)</f>
        <v/>
      </c>
      <c r="AD50" s="2">
        <f>R50+W50+AC50</f>
        <v/>
      </c>
      <c r="AH50" s="18" t="n">
        <v>3750</v>
      </c>
      <c r="AI50" s="2">
        <f>SUM(AE50:AH50)</f>
        <v/>
      </c>
      <c r="AM50" s="18" t="n">
        <v>3750</v>
      </c>
      <c r="AN50" s="2">
        <f>SUM(AJ50:AM50)</f>
        <v/>
      </c>
      <c r="AR50" s="18" t="n">
        <v>3750</v>
      </c>
      <c r="AT50" s="2">
        <f>SUM(AO50:AS50)</f>
        <v/>
      </c>
      <c r="AU50" s="2">
        <f>AI50+AN50+AT50</f>
        <v/>
      </c>
      <c r="AY50" s="18" t="n">
        <v>3750</v>
      </c>
      <c r="AZ50" s="2">
        <f>SUM(AV50:AY50)</f>
        <v/>
      </c>
      <c r="BD50" s="18" t="n">
        <v>3750</v>
      </c>
      <c r="BF50" s="2">
        <f>SUM(BA50:BE50)</f>
        <v/>
      </c>
      <c r="BJ50" s="18" t="n">
        <v>3250</v>
      </c>
      <c r="BK50" s="2">
        <f>SUM(BG50:BJ50)</f>
        <v/>
      </c>
      <c r="BL50" s="2">
        <f>AZ50+BF50+BK50</f>
        <v/>
      </c>
      <c r="BP50" s="18" t="n">
        <v>3750</v>
      </c>
      <c r="BQ50" s="2">
        <f>SUM(BM50:BP50)</f>
        <v/>
      </c>
      <c r="BU50" s="18" t="n">
        <v>3750</v>
      </c>
      <c r="BW50" s="2">
        <f>SUM(BR50:BV50)</f>
        <v/>
      </c>
      <c r="CA50" s="18" t="n">
        <v>3750</v>
      </c>
      <c r="CB50" s="2">
        <f>SUM(BX50:CA50)</f>
        <v/>
      </c>
      <c r="CC50" s="2">
        <f>BQ50+BW50+CB50</f>
        <v/>
      </c>
      <c r="CD50" s="2">
        <f>AD50+AU50+BL50+CC50</f>
        <v/>
      </c>
    </row>
    <row r="51">
      <c r="A51" t="inlineStr">
        <is>
          <t>Approved</t>
        </is>
      </c>
      <c r="B51" t="inlineStr">
        <is>
          <t>0.5</t>
        </is>
      </c>
      <c r="C51" t="inlineStr">
        <is>
          <t>Travel Expenses / Ownership</t>
        </is>
      </c>
      <c r="D51" t="inlineStr">
        <is>
          <t>Partnership</t>
        </is>
      </c>
      <c r="E51" t="inlineStr">
        <is>
          <t>Overhead</t>
        </is>
      </c>
      <c r="F51" t="inlineStr">
        <is>
          <t>Phase 2</t>
        </is>
      </c>
      <c r="G51" s="2" t="n">
        <v>24000</v>
      </c>
      <c r="H51" s="2" t="n">
        <v>19641.38</v>
      </c>
      <c r="I51" s="2">
        <f>G51+H51</f>
        <v/>
      </c>
      <c r="J51" s="2">
        <f>SUMIF(LEDGER!$A:$A,$B51,LEDGER!$G:$G)</f>
        <v/>
      </c>
      <c r="K51" s="2">
        <f>I51-J51</f>
        <v/>
      </c>
      <c r="L51" s="2">
        <f>J51+CD51</f>
        <v/>
      </c>
      <c r="M51" s="2">
        <f>I51-L51</f>
        <v/>
      </c>
      <c r="R51" s="2">
        <f>SUM(N51:Q51)</f>
        <v/>
      </c>
      <c r="W51" s="2">
        <f>SUM(S51:V51)</f>
        <v/>
      </c>
      <c r="AA51" s="16" t="n"/>
      <c r="AC51" s="2">
        <f>SUM(X51:AB51)</f>
        <v/>
      </c>
      <c r="AD51" s="2">
        <f>R51+W51+AC51</f>
        <v/>
      </c>
      <c r="AI51" s="2">
        <f>SUM(AE51:AH51)</f>
        <v/>
      </c>
      <c r="AN51" s="2">
        <f>SUM(AJ51:AM51)</f>
        <v/>
      </c>
      <c r="AT51" s="2">
        <f>SUM(AO51:AS51)</f>
        <v/>
      </c>
      <c r="AU51" s="2">
        <f>AI51+AN51+AT51</f>
        <v/>
      </c>
      <c r="AZ51" s="2">
        <f>SUM(AV51:AY51)</f>
        <v/>
      </c>
      <c r="BF51" s="2">
        <f>SUM(BA51:BE51)</f>
        <v/>
      </c>
      <c r="BK51" s="2">
        <f>SUM(BG51:BJ51)</f>
        <v/>
      </c>
      <c r="BL51" s="2">
        <f>AZ51+BF51+BK51</f>
        <v/>
      </c>
      <c r="BQ51" s="2">
        <f>SUM(BM51:BP51)</f>
        <v/>
      </c>
      <c r="BW51" s="2">
        <f>SUM(BR51:BV51)</f>
        <v/>
      </c>
      <c r="CB51" s="2">
        <f>SUM(BX51:CA51)</f>
        <v/>
      </c>
      <c r="CC51" s="2">
        <f>BQ51+BW51+CB51</f>
        <v/>
      </c>
      <c r="CD51" s="2">
        <f>AD51+AU51+BL51+CC51</f>
        <v/>
      </c>
    </row>
    <row r="52">
      <c r="A52" t="inlineStr">
        <is>
          <t>Attention</t>
        </is>
      </c>
      <c r="B52" t="inlineStr">
        <is>
          <t>0.6.1</t>
        </is>
      </c>
      <c r="C52" t="inlineStr">
        <is>
          <t>Farm Manager</t>
        </is>
      </c>
      <c r="D52" t="inlineStr">
        <is>
          <t>Alexis</t>
        </is>
      </c>
      <c r="E52" t="inlineStr">
        <is>
          <t>Overhead</t>
        </is>
      </c>
      <c r="F52" t="inlineStr">
        <is>
          <t>Phase 2</t>
        </is>
      </c>
      <c r="G52" s="2" t="n">
        <v>23000</v>
      </c>
      <c r="H52" s="2" t="n">
        <v>19334.4</v>
      </c>
      <c r="I52" s="2">
        <f>G52+H52</f>
        <v/>
      </c>
      <c r="J52" s="2">
        <f>SUMIF(LEDGER!$A:$A,$B52,LEDGER!$G:$G)</f>
        <v/>
      </c>
      <c r="K52" s="2">
        <f>I52-J52</f>
        <v/>
      </c>
      <c r="L52" s="2">
        <f>J52+CD52</f>
        <v/>
      </c>
      <c r="M52" s="2">
        <f>I52-L52</f>
        <v/>
      </c>
      <c r="Q52" s="18" t="n">
        <v>1824.71</v>
      </c>
      <c r="R52" s="2">
        <f>SUM(N52:Q52)</f>
        <v/>
      </c>
      <c r="V52" s="18" t="n">
        <v>1824.71</v>
      </c>
      <c r="W52" s="2">
        <f>SUM(S52:V52)</f>
        <v/>
      </c>
      <c r="AA52" s="18" t="n">
        <v>1824.71</v>
      </c>
      <c r="AC52" s="2">
        <f>SUM(X52:AB52)</f>
        <v/>
      </c>
      <c r="AD52" s="2">
        <f>R52+W52+AC52</f>
        <v/>
      </c>
      <c r="AH52" s="18" t="n">
        <v>1824.71</v>
      </c>
      <c r="AI52" s="2">
        <f>SUM(AE52:AH52)</f>
        <v/>
      </c>
      <c r="AM52" s="18" t="n">
        <v>1824.71</v>
      </c>
      <c r="AN52" s="2">
        <f>SUM(AJ52:AM52)</f>
        <v/>
      </c>
      <c r="AR52" s="18" t="n">
        <v>1824.71</v>
      </c>
      <c r="AT52" s="2">
        <f>SUM(AO52:AS52)</f>
        <v/>
      </c>
      <c r="AU52" s="2">
        <f>AI52+AN52+AT52</f>
        <v/>
      </c>
      <c r="AY52" s="18" t="n">
        <v>1824.71</v>
      </c>
      <c r="AZ52" s="2">
        <f>SUM(AV52:AY52)</f>
        <v/>
      </c>
      <c r="BD52" s="18" t="n">
        <v>1824.71</v>
      </c>
      <c r="BF52" s="2">
        <f>SUM(BA52:BE52)</f>
        <v/>
      </c>
      <c r="BJ52" s="18" t="n">
        <v>1824.71</v>
      </c>
      <c r="BK52" s="2">
        <f>SUM(BG52:BJ52)</f>
        <v/>
      </c>
      <c r="BL52" s="2">
        <f>AZ52+BF52+BK52</f>
        <v/>
      </c>
      <c r="BP52" s="18" t="n">
        <v>1824.71</v>
      </c>
      <c r="BQ52" s="2">
        <f>SUM(BM52:BP52)</f>
        <v/>
      </c>
      <c r="BU52" s="18" t="n">
        <v>1824.71</v>
      </c>
      <c r="BW52" s="2">
        <f>SUM(BR52:BV52)</f>
        <v/>
      </c>
      <c r="CA52" s="18" t="n">
        <v>1824.71</v>
      </c>
      <c r="CB52" s="2">
        <f>SUM(BX52:CA52)</f>
        <v/>
      </c>
      <c r="CC52" s="2">
        <f>BQ52+BW52+CB52</f>
        <v/>
      </c>
      <c r="CD52" s="2">
        <f>AD52+AU52+BL52+CC52</f>
        <v/>
      </c>
    </row>
    <row r="53">
      <c r="A53" t="inlineStr">
        <is>
          <t>Attention</t>
        </is>
      </c>
      <c r="B53" t="inlineStr">
        <is>
          <t>0.6.2</t>
        </is>
      </c>
      <c r="C53" t="inlineStr">
        <is>
          <t>Farm Worker</t>
        </is>
      </c>
      <c r="D53" t="inlineStr">
        <is>
          <t>TBD</t>
        </is>
      </c>
      <c r="E53" t="inlineStr">
        <is>
          <t>Overhead</t>
        </is>
      </c>
      <c r="F53" t="inlineStr">
        <is>
          <t>Phase 2</t>
        </is>
      </c>
      <c r="G53" s="2" t="n">
        <v>13800</v>
      </c>
      <c r="H53" s="2" t="n">
        <v>2569.41</v>
      </c>
      <c r="I53" s="2">
        <f>G53+H53</f>
        <v/>
      </c>
      <c r="J53" s="2">
        <f>SUMIF(LEDGER!$A:$A,$B53,LEDGER!$G:$G)</f>
        <v/>
      </c>
      <c r="K53" s="2">
        <f>I53-J53</f>
        <v/>
      </c>
      <c r="L53" s="2">
        <f>J53+CD53</f>
        <v/>
      </c>
      <c r="M53" s="2">
        <f>I53-L53</f>
        <v/>
      </c>
      <c r="Q53" s="18" t="n">
        <v>1000</v>
      </c>
      <c r="R53" s="2">
        <f>SUM(N53:Q53)</f>
        <v/>
      </c>
      <c r="V53" s="18" t="n">
        <v>1000</v>
      </c>
      <c r="W53" s="2">
        <f>SUM(S53:V53)</f>
        <v/>
      </c>
      <c r="AA53" s="18" t="n">
        <v>1000</v>
      </c>
      <c r="AC53" s="2">
        <f>SUM(X53:AB53)</f>
        <v/>
      </c>
      <c r="AD53" s="2">
        <f>R53+W53+AC53</f>
        <v/>
      </c>
      <c r="AH53" s="18" t="n">
        <v>1000</v>
      </c>
      <c r="AI53" s="2">
        <f>SUM(AE53:AH53)</f>
        <v/>
      </c>
      <c r="AM53" s="18" t="n">
        <v>1000</v>
      </c>
      <c r="AN53" s="2">
        <f>SUM(AJ53:AM53)</f>
        <v/>
      </c>
      <c r="AR53" s="18" t="n">
        <v>1000</v>
      </c>
      <c r="AT53" s="2">
        <f>SUM(AO53:AS53)</f>
        <v/>
      </c>
      <c r="AU53" s="2">
        <f>AI53+AN53+AT53</f>
        <v/>
      </c>
      <c r="AY53" s="18" t="n">
        <v>1000</v>
      </c>
      <c r="AZ53" s="2">
        <f>SUM(AV53:AY53)</f>
        <v/>
      </c>
      <c r="BD53" s="18" t="n">
        <v>600</v>
      </c>
      <c r="BF53" s="2">
        <f>SUM(BA53:BE53)</f>
        <v/>
      </c>
      <c r="BJ53" s="18" t="n">
        <v>1000</v>
      </c>
      <c r="BK53" s="2">
        <f>SUM(BG53:BJ53)</f>
        <v/>
      </c>
      <c r="BL53" s="2">
        <f>AZ53+BF53+BK53</f>
        <v/>
      </c>
      <c r="BP53" s="18" t="n">
        <v>1000</v>
      </c>
      <c r="BQ53" s="2">
        <f>SUM(BM53:BP53)</f>
        <v/>
      </c>
      <c r="BU53" s="18" t="n">
        <v>1000</v>
      </c>
      <c r="BW53" s="2">
        <f>SUM(BR53:BV53)</f>
        <v/>
      </c>
      <c r="CA53" s="18" t="n">
        <v>1000</v>
      </c>
      <c r="CB53" s="2">
        <f>SUM(BX53:CA53)</f>
        <v/>
      </c>
      <c r="CC53" s="2">
        <f>BQ53+BW53+CB53</f>
        <v/>
      </c>
      <c r="CD53" s="2">
        <f>AD53+AU53+BL53+CC53</f>
        <v/>
      </c>
    </row>
    <row r="54">
      <c r="A54" t="inlineStr">
        <is>
          <t>Attention</t>
        </is>
      </c>
      <c r="B54" t="inlineStr">
        <is>
          <t>0.6.3</t>
        </is>
      </c>
      <c r="C54" t="inlineStr">
        <is>
          <t>CCSS Employee Benefits</t>
        </is>
      </c>
      <c r="E54" t="inlineStr">
        <is>
          <t>Overhead</t>
        </is>
      </c>
      <c r="F54" t="inlineStr">
        <is>
          <t>Phase 2</t>
        </is>
      </c>
      <c r="G54" s="2" t="n">
        <v>18400</v>
      </c>
      <c r="H54" s="2" t="n">
        <v>0</v>
      </c>
      <c r="I54" s="2">
        <f>G54+H54</f>
        <v/>
      </c>
      <c r="J54" s="2">
        <f>SUMIF(LEDGER!$A:$A,$B54,LEDGER!$G:$G)</f>
        <v/>
      </c>
      <c r="K54" s="2">
        <f>I54-J54</f>
        <v/>
      </c>
      <c r="L54" s="2">
        <f>J54+CD54</f>
        <v/>
      </c>
      <c r="M54" s="2">
        <f>I54-L54</f>
        <v/>
      </c>
      <c r="Q54" s="18" t="n">
        <v>1392.36</v>
      </c>
      <c r="R54" s="2">
        <f>SUM(N54:Q54)</f>
        <v/>
      </c>
      <c r="V54" s="18" t="n">
        <v>1412.36</v>
      </c>
      <c r="W54" s="2">
        <f>SUM(S54:V54)</f>
        <v/>
      </c>
      <c r="AA54" s="18" t="n">
        <v>1412.36</v>
      </c>
      <c r="AC54" s="2">
        <f>SUM(X54:AB54)</f>
        <v/>
      </c>
      <c r="AD54" s="2">
        <f>R54+W54+AC54</f>
        <v/>
      </c>
      <c r="AH54" s="18" t="n">
        <v>1412.36</v>
      </c>
      <c r="AI54" s="2">
        <f>SUM(AE54:AH54)</f>
        <v/>
      </c>
      <c r="AM54" s="18" t="n">
        <v>1412.36</v>
      </c>
      <c r="AN54" s="2">
        <f>SUM(AJ54:AM54)</f>
        <v/>
      </c>
      <c r="AR54" s="18" t="n">
        <v>1412.36</v>
      </c>
      <c r="AT54" s="2">
        <f>SUM(AO54:AS54)</f>
        <v/>
      </c>
      <c r="AU54" s="2">
        <f>AI54+AN54+AT54</f>
        <v/>
      </c>
      <c r="AY54" s="18" t="n">
        <v>1412.36</v>
      </c>
      <c r="AZ54" s="2">
        <f>SUM(AV54:AY54)</f>
        <v/>
      </c>
      <c r="BD54" s="18" t="n">
        <v>1212.36</v>
      </c>
      <c r="BF54" s="2">
        <f>SUM(BA54:BE54)</f>
        <v/>
      </c>
      <c r="BJ54" s="18" t="n">
        <v>1412.36</v>
      </c>
      <c r="BK54" s="2">
        <f>SUM(BG54:BJ54)</f>
        <v/>
      </c>
      <c r="BL54" s="2">
        <f>AZ54+BF54+BK54</f>
        <v/>
      </c>
      <c r="BP54" s="18" t="n">
        <v>1412.36</v>
      </c>
      <c r="BQ54" s="2">
        <f>SUM(BM54:BP54)</f>
        <v/>
      </c>
      <c r="BU54" s="18" t="n">
        <v>1412.36</v>
      </c>
      <c r="BW54" s="2">
        <f>SUM(BR54:BV54)</f>
        <v/>
      </c>
      <c r="BZ54" s="18" t="n">
        <v>1671.74</v>
      </c>
      <c r="CA54" s="18" t="n">
        <v>1412.36</v>
      </c>
      <c r="CB54" s="2">
        <f>SUM(BX54:CA54)</f>
        <v/>
      </c>
      <c r="CC54" s="2">
        <f>BQ54+BW54+CB54</f>
        <v/>
      </c>
      <c r="CD54" s="2">
        <f>AD54+AU54+BL54+CC54</f>
        <v/>
      </c>
    </row>
    <row r="55">
      <c r="A55" t="inlineStr">
        <is>
          <t>Approved</t>
        </is>
      </c>
      <c r="B55" t="inlineStr">
        <is>
          <t>0.6.4</t>
        </is>
      </c>
      <c r="C55" t="inlineStr">
        <is>
          <t>Main. Equip. / Expendables / Truck / Mula</t>
        </is>
      </c>
      <c r="D55" t="inlineStr">
        <is>
          <t>Blake</t>
        </is>
      </c>
      <c r="E55" t="inlineStr">
        <is>
          <t>Overhead</t>
        </is>
      </c>
      <c r="F55" t="inlineStr">
        <is>
          <t>Phase 2</t>
        </is>
      </c>
      <c r="G55" s="2" t="n">
        <v>62500</v>
      </c>
      <c r="H55" s="2" t="n">
        <v>0</v>
      </c>
      <c r="I55" s="2">
        <f>G55+H55</f>
        <v/>
      </c>
      <c r="J55" s="2">
        <f>SUMIF(LEDGER!$A:$A,$B55,LEDGER!$G:$G)</f>
        <v/>
      </c>
      <c r="K55" s="2">
        <f>I55-J55</f>
        <v/>
      </c>
      <c r="L55" s="2">
        <f>J55+CD55</f>
        <v/>
      </c>
      <c r="M55" s="2">
        <f>I55-L55</f>
        <v/>
      </c>
      <c r="R55" s="2">
        <f>SUM(N55:Q55)</f>
        <v/>
      </c>
      <c r="W55" s="2">
        <f>SUM(S55:V55)</f>
        <v/>
      </c>
      <c r="AA55" s="16" t="n"/>
      <c r="AC55" s="2">
        <f>SUM(X55:AB55)</f>
        <v/>
      </c>
      <c r="AD55" s="2">
        <f>R55+W55+AC55</f>
        <v/>
      </c>
      <c r="AI55" s="2">
        <f>SUM(AE55:AH55)</f>
        <v/>
      </c>
      <c r="AJ55" s="17" t="n">
        <v>2500</v>
      </c>
      <c r="AK55" s="17" t="n">
        <v>29998</v>
      </c>
      <c r="AN55" s="2">
        <f>SUM(AJ55:AM55)</f>
        <v/>
      </c>
      <c r="AR55" s="17" t="n">
        <v>2500</v>
      </c>
      <c r="AT55" s="2">
        <f>SUM(AO55:AS55)</f>
        <v/>
      </c>
      <c r="AU55" s="2">
        <f>AI55+AN55+AT55</f>
        <v/>
      </c>
      <c r="AZ55" s="2">
        <f>SUM(AV55:AY55)</f>
        <v/>
      </c>
      <c r="BF55" s="2">
        <f>SUM(BA55:BE55)</f>
        <v/>
      </c>
      <c r="BJ55" s="17" t="n">
        <v>2500</v>
      </c>
      <c r="BK55" s="2">
        <f>SUM(BG55:BJ55)</f>
        <v/>
      </c>
      <c r="BL55" s="2">
        <f>AZ55+BF55+BK55</f>
        <v/>
      </c>
      <c r="BQ55" s="2">
        <f>SUM(BM55:BP55)</f>
        <v/>
      </c>
      <c r="BW55" s="2">
        <f>SUM(BR55:BV55)</f>
        <v/>
      </c>
      <c r="CB55" s="2">
        <f>SUM(BX55:CA55)</f>
        <v/>
      </c>
      <c r="CC55" s="2">
        <f>BQ55+BW55+CB55</f>
        <v/>
      </c>
      <c r="CD55" s="2">
        <f>AD55+AU55+BL55+CC55</f>
        <v/>
      </c>
    </row>
    <row r="56">
      <c r="A56" t="inlineStr">
        <is>
          <t>Approved</t>
        </is>
      </c>
      <c r="B56" t="inlineStr">
        <is>
          <t>0.6.5</t>
        </is>
      </c>
      <c r="C56" t="inlineStr">
        <is>
          <t>Procore (If we want to implement is system)</t>
        </is>
      </c>
      <c r="D56" t="inlineStr">
        <is>
          <t>Blake</t>
        </is>
      </c>
      <c r="E56" t="inlineStr">
        <is>
          <t>Overhead</t>
        </is>
      </c>
      <c r="F56" t="inlineStr">
        <is>
          <t>Phase 2</t>
        </is>
      </c>
      <c r="G56" s="2" t="n">
        <v>21000</v>
      </c>
      <c r="H56" s="2" t="n">
        <v>0</v>
      </c>
      <c r="I56" s="2">
        <f>G56+H56</f>
        <v/>
      </c>
      <c r="J56" s="2">
        <f>SUMIF(LEDGER!$A:$A,$B56,LEDGER!$G:$G)</f>
        <v/>
      </c>
      <c r="K56" s="2">
        <f>I56-J56</f>
        <v/>
      </c>
      <c r="L56" s="2">
        <f>J56+CD56</f>
        <v/>
      </c>
      <c r="M56" s="2">
        <f>I56-L56</f>
        <v/>
      </c>
      <c r="R56" s="2">
        <f>SUM(N56:Q56)</f>
        <v/>
      </c>
      <c r="W56" s="2">
        <f>SUM(S56:V56)</f>
        <v/>
      </c>
      <c r="AA56" s="16" t="n"/>
      <c r="AC56" s="2">
        <f>SUM(X56:AB56)</f>
        <v/>
      </c>
      <c r="AD56" s="2">
        <f>R56+W56+AC56</f>
        <v/>
      </c>
      <c r="AI56" s="2">
        <f>SUM(AE56:AH56)</f>
        <v/>
      </c>
      <c r="AK56" s="17" t="n">
        <v>13000</v>
      </c>
      <c r="AN56" s="2">
        <f>SUM(AJ56:AM56)</f>
        <v/>
      </c>
      <c r="AT56" s="2">
        <f>SUM(AO56:AS56)</f>
        <v/>
      </c>
      <c r="AU56" s="2">
        <f>AI56+AN56+AT56</f>
        <v/>
      </c>
      <c r="AZ56" s="2">
        <f>SUM(AV56:AY56)</f>
        <v/>
      </c>
      <c r="BF56" s="2">
        <f>SUM(BA56:BE56)</f>
        <v/>
      </c>
      <c r="BK56" s="2">
        <f>SUM(BG56:BJ56)</f>
        <v/>
      </c>
      <c r="BL56" s="2">
        <f>AZ56+BF56+BK56</f>
        <v/>
      </c>
      <c r="BQ56" s="2">
        <f>SUM(BM56:BP56)</f>
        <v/>
      </c>
      <c r="BW56" s="2">
        <f>SUM(BR56:BV56)</f>
        <v/>
      </c>
      <c r="CA56" s="17" t="n">
        <v>8000</v>
      </c>
      <c r="CB56" s="2">
        <f>SUM(BX56:CA56)</f>
        <v/>
      </c>
      <c r="CC56" s="2">
        <f>BQ56+BW56+CB56</f>
        <v/>
      </c>
      <c r="CD56" s="2">
        <f>AD56+AU56+BL56+CC56</f>
        <v/>
      </c>
    </row>
    <row r="57">
      <c r="A57" t="inlineStr">
        <is>
          <t>Attention</t>
        </is>
      </c>
      <c r="B57" t="inlineStr">
        <is>
          <t>0.7</t>
        </is>
      </c>
      <c r="C57" t="inlineStr">
        <is>
          <t>Development Director</t>
        </is>
      </c>
      <c r="D57" t="inlineStr">
        <is>
          <t>Blake</t>
        </is>
      </c>
      <c r="E57" t="inlineStr">
        <is>
          <t>Overhead</t>
        </is>
      </c>
      <c r="F57" t="inlineStr">
        <is>
          <t>Phase 2</t>
        </is>
      </c>
      <c r="G57" s="2" t="n">
        <v>324874.9999999999</v>
      </c>
      <c r="H57" s="2" t="n">
        <v>68170</v>
      </c>
      <c r="I57" s="2">
        <f>G57+H57</f>
        <v/>
      </c>
      <c r="J57" s="2">
        <f>SUMIF(LEDGER!$A:$A,$B57,LEDGER!$G:$G)</f>
        <v/>
      </c>
      <c r="K57" s="2">
        <f>I57-J57</f>
        <v/>
      </c>
      <c r="L57" s="2">
        <f>J57+CD57</f>
        <v/>
      </c>
      <c r="M57" s="2">
        <f>I57-L57</f>
        <v/>
      </c>
      <c r="Q57" s="18" t="n">
        <v>14125</v>
      </c>
      <c r="R57" s="2">
        <f>SUM(N57:Q57)</f>
        <v/>
      </c>
      <c r="V57" s="18" t="n">
        <v>14125</v>
      </c>
      <c r="W57" s="2">
        <f>SUM(S57:V57)</f>
        <v/>
      </c>
      <c r="AA57" s="18" t="n">
        <v>14125</v>
      </c>
      <c r="AC57" s="2">
        <f>SUM(X57:AB57)</f>
        <v/>
      </c>
      <c r="AD57" s="2">
        <f>R57+W57+AC57</f>
        <v/>
      </c>
      <c r="AH57" s="18" t="n">
        <v>14125</v>
      </c>
      <c r="AI57" s="2">
        <f>SUM(AE57:AH57)</f>
        <v/>
      </c>
      <c r="AM57" s="18" t="n">
        <v>14125</v>
      </c>
      <c r="AN57" s="2">
        <f>SUM(AJ57:AM57)</f>
        <v/>
      </c>
      <c r="AR57" s="18" t="n">
        <v>14125</v>
      </c>
      <c r="AT57" s="2">
        <f>SUM(AO57:AS57)</f>
        <v/>
      </c>
      <c r="AU57" s="2">
        <f>AI57+AN57+AT57</f>
        <v/>
      </c>
      <c r="AY57" s="18" t="n">
        <v>14125</v>
      </c>
      <c r="AZ57" s="2">
        <f>SUM(AV57:AY57)</f>
        <v/>
      </c>
      <c r="BD57" s="18" t="n">
        <v>14125</v>
      </c>
      <c r="BF57" s="2">
        <f>SUM(BA57:BE57)</f>
        <v/>
      </c>
      <c r="BJ57" s="18" t="n">
        <v>14125</v>
      </c>
      <c r="BK57" s="2">
        <f>SUM(BG57:BJ57)</f>
        <v/>
      </c>
      <c r="BL57" s="2">
        <f>AZ57+BF57+BK57</f>
        <v/>
      </c>
      <c r="BP57" s="18" t="n">
        <v>14125</v>
      </c>
      <c r="BQ57" s="2">
        <f>SUM(BM57:BP57)</f>
        <v/>
      </c>
      <c r="BU57" s="18" t="n">
        <v>14125</v>
      </c>
      <c r="BW57" s="2">
        <f>SUM(BR57:BV57)</f>
        <v/>
      </c>
      <c r="CA57" s="18" t="n">
        <v>14125</v>
      </c>
      <c r="CB57" s="2">
        <f>SUM(BX57:CA57)</f>
        <v/>
      </c>
      <c r="CC57" s="2">
        <f>BQ57+BW57+CB57</f>
        <v/>
      </c>
      <c r="CD57" s="2">
        <f>AD57+AU57+BL57+CC57</f>
        <v/>
      </c>
    </row>
    <row r="58">
      <c r="A58" t="inlineStr">
        <is>
          <t>In process</t>
        </is>
      </c>
      <c r="B58" t="inlineStr">
        <is>
          <t>0.8</t>
        </is>
      </c>
      <c r="C58" t="inlineStr">
        <is>
          <t>Road Repairs</t>
        </is>
      </c>
      <c r="D58" t="inlineStr">
        <is>
          <t>FyF</t>
        </is>
      </c>
      <c r="E58" t="inlineStr">
        <is>
          <t>Overhead</t>
        </is>
      </c>
      <c r="F58" t="inlineStr">
        <is>
          <t>Phase 2</t>
        </is>
      </c>
      <c r="G58" s="2" t="n">
        <v>30000</v>
      </c>
      <c r="H58" s="2" t="n">
        <v>0</v>
      </c>
      <c r="I58" s="2">
        <f>G58+H58</f>
        <v/>
      </c>
      <c r="J58" s="2">
        <f>SUMIF(LEDGER!$A:$A,$B58,LEDGER!$G:$G)</f>
        <v/>
      </c>
      <c r="K58" s="2">
        <f>I58-J58</f>
        <v/>
      </c>
      <c r="L58" s="2">
        <f>J58+CD58</f>
        <v/>
      </c>
      <c r="M58" s="2">
        <f>I58-L58</f>
        <v/>
      </c>
      <c r="R58" s="2">
        <f>SUM(N58:Q58)</f>
        <v/>
      </c>
      <c r="W58" s="2">
        <f>SUM(S58:V58)</f>
        <v/>
      </c>
      <c r="AC58" s="2">
        <f>SUM(X58:AB58)</f>
        <v/>
      </c>
      <c r="AD58" s="2">
        <f>R58+W58+AC58</f>
        <v/>
      </c>
      <c r="AE58" s="14" t="n">
        <v>30000</v>
      </c>
      <c r="AI58" s="2">
        <f>SUM(AE58:AH58)</f>
        <v/>
      </c>
      <c r="AN58" s="2">
        <f>SUM(AJ58:AM58)</f>
        <v/>
      </c>
      <c r="AT58" s="2">
        <f>SUM(AO58:AS58)</f>
        <v/>
      </c>
      <c r="AU58" s="2">
        <f>AI58+AN58+AT58</f>
        <v/>
      </c>
      <c r="AZ58" s="2">
        <f>SUM(AV58:AY58)</f>
        <v/>
      </c>
      <c r="BF58" s="2">
        <f>SUM(BA58:BE58)</f>
        <v/>
      </c>
      <c r="BK58" s="2">
        <f>SUM(BG58:BJ58)</f>
        <v/>
      </c>
      <c r="BL58" s="2">
        <f>AZ58+BF58+BK58</f>
        <v/>
      </c>
      <c r="BQ58" s="2">
        <f>SUM(BM58:BP58)</f>
        <v/>
      </c>
      <c r="BW58" s="2">
        <f>SUM(BR58:BV58)</f>
        <v/>
      </c>
      <c r="CB58" s="2">
        <f>SUM(BX58:CA58)</f>
        <v/>
      </c>
      <c r="CC58" s="2">
        <f>BQ58+BW58+CB58</f>
        <v/>
      </c>
      <c r="CD58" s="2">
        <f>AD58+AU58+BL58+CC58</f>
        <v/>
      </c>
    </row>
    <row r="59">
      <c r="A59" t="inlineStr">
        <is>
          <t>Approved</t>
        </is>
      </c>
      <c r="B59" t="inlineStr">
        <is>
          <t>0.9</t>
        </is>
      </c>
      <c r="C59" t="inlineStr">
        <is>
          <t>Fallen Trees / Cutting Grass</t>
        </is>
      </c>
      <c r="D59" t="inlineStr">
        <is>
          <t>Alexis/Gustavo</t>
        </is>
      </c>
      <c r="E59" t="inlineStr">
        <is>
          <t>Overhead</t>
        </is>
      </c>
      <c r="F59" t="inlineStr">
        <is>
          <t>Phase 2</t>
        </is>
      </c>
      <c r="G59" s="2" t="n">
        <v>16000</v>
      </c>
      <c r="H59" s="2" t="n">
        <v>24000</v>
      </c>
      <c r="I59" s="2">
        <f>G59+H59</f>
        <v/>
      </c>
      <c r="J59" s="2">
        <f>SUMIF(LEDGER!$A:$A,$B59,LEDGER!$G:$G)</f>
        <v/>
      </c>
      <c r="K59" s="2">
        <f>I59-J59</f>
        <v/>
      </c>
      <c r="L59" s="2">
        <f>J59+CD59</f>
        <v/>
      </c>
      <c r="M59" s="2">
        <f>I59-L59</f>
        <v/>
      </c>
      <c r="R59" s="2">
        <f>SUM(N59:Q59)</f>
        <v/>
      </c>
      <c r="V59" s="17" t="n">
        <v>2000</v>
      </c>
      <c r="W59" s="2">
        <f>SUM(S59:V59)</f>
        <v/>
      </c>
      <c r="AC59" s="2">
        <f>SUM(X59:AB59)</f>
        <v/>
      </c>
      <c r="AD59" s="2">
        <f>R59+W59+AC59</f>
        <v/>
      </c>
      <c r="AI59" s="2">
        <f>SUM(AE59:AH59)</f>
        <v/>
      </c>
      <c r="AM59" s="17" t="n">
        <v>2000</v>
      </c>
      <c r="AN59" s="2">
        <f>SUM(AJ59:AM59)</f>
        <v/>
      </c>
      <c r="AT59" s="2">
        <f>SUM(AO59:AS59)</f>
        <v/>
      </c>
      <c r="AU59" s="2">
        <f>AI59+AN59+AT59</f>
        <v/>
      </c>
      <c r="AZ59" s="2">
        <f>SUM(AV59:AY59)</f>
        <v/>
      </c>
      <c r="BD59" s="17" t="n">
        <v>2000</v>
      </c>
      <c r="BF59" s="2">
        <f>SUM(BA59:BE59)</f>
        <v/>
      </c>
      <c r="BK59" s="2">
        <f>SUM(BG59:BJ59)</f>
        <v/>
      </c>
      <c r="BL59" s="2">
        <f>AZ59+BF59+BK59</f>
        <v/>
      </c>
      <c r="BM59" s="17" t="n">
        <v>31840.2</v>
      </c>
      <c r="BQ59" s="2">
        <f>SUM(BM59:BP59)</f>
        <v/>
      </c>
      <c r="BW59" s="2">
        <f>SUM(BR59:BV59)</f>
        <v/>
      </c>
      <c r="CB59" s="2">
        <f>SUM(BX59:CA59)</f>
        <v/>
      </c>
      <c r="CC59" s="2">
        <f>BQ59+BW59+CB59</f>
        <v/>
      </c>
      <c r="CD59" s="2">
        <f>AD59+AU59+BL59+CC59</f>
        <v/>
      </c>
    </row>
    <row r="60">
      <c r="A60" t="inlineStr">
        <is>
          <t>In process</t>
        </is>
      </c>
      <c r="B60" t="inlineStr">
        <is>
          <t>0.911</t>
        </is>
      </c>
      <c r="C60" t="inlineStr">
        <is>
          <t>Property Gates</t>
        </is>
      </c>
      <c r="D60" t="inlineStr">
        <is>
          <t>Blake</t>
        </is>
      </c>
      <c r="E60" t="inlineStr">
        <is>
          <t>Overhead</t>
        </is>
      </c>
      <c r="F60" t="inlineStr">
        <is>
          <t>Phase 2</t>
        </is>
      </c>
      <c r="G60" s="2" t="n">
        <v>6000</v>
      </c>
      <c r="H60" s="2" t="n">
        <v>1400</v>
      </c>
      <c r="I60" s="2">
        <f>G60+H60</f>
        <v/>
      </c>
      <c r="J60" s="2">
        <f>SUMIF(LEDGER!$A:$A,$B60,LEDGER!$G:$G)</f>
        <v/>
      </c>
      <c r="K60" s="2">
        <f>I60-J60</f>
        <v/>
      </c>
      <c r="L60" s="2">
        <f>J60+CD60</f>
        <v/>
      </c>
      <c r="M60" s="2">
        <f>I60-L60</f>
        <v/>
      </c>
      <c r="R60" s="2">
        <f>SUM(N60:Q60)</f>
        <v/>
      </c>
      <c r="W60" s="2">
        <f>SUM(S60:V60)</f>
        <v/>
      </c>
      <c r="AC60" s="2">
        <f>SUM(X60:AB60)</f>
        <v/>
      </c>
      <c r="AD60" s="2">
        <f>R60+W60+AC60</f>
        <v/>
      </c>
      <c r="AI60" s="2">
        <f>SUM(AE60:AH60)</f>
        <v/>
      </c>
      <c r="AN60" s="2">
        <f>SUM(AJ60:AM60)</f>
        <v/>
      </c>
      <c r="AT60" s="2">
        <f>SUM(AO60:AS60)</f>
        <v/>
      </c>
      <c r="AU60" s="2">
        <f>AI60+AN60+AT60</f>
        <v/>
      </c>
      <c r="AZ60" s="2">
        <f>SUM(AV60:AY60)</f>
        <v/>
      </c>
      <c r="BF60" s="2">
        <f>SUM(BA60:BE60)</f>
        <v/>
      </c>
      <c r="BK60" s="2">
        <f>SUM(BG60:BJ60)</f>
        <v/>
      </c>
      <c r="BL60" s="2">
        <f>AZ60+BF60+BK60</f>
        <v/>
      </c>
      <c r="BQ60" s="2">
        <f>SUM(BM60:BP60)</f>
        <v/>
      </c>
      <c r="BW60" s="2">
        <f>SUM(BR60:BV60)</f>
        <v/>
      </c>
      <c r="CB60" s="2">
        <f>SUM(BX60:CA60)</f>
        <v/>
      </c>
      <c r="CC60" s="2">
        <f>BQ60+BW60+CB60</f>
        <v/>
      </c>
      <c r="CD60" s="2">
        <f>AD60+AU60+BL60+CC60</f>
        <v/>
      </c>
    </row>
    <row r="61">
      <c r="A61" t="inlineStr">
        <is>
          <t>Attention</t>
        </is>
      </c>
      <c r="B61" t="inlineStr">
        <is>
          <t>1.1</t>
        </is>
      </c>
      <c r="C61" t="inlineStr">
        <is>
          <t>Gravel Existing Roads</t>
        </is>
      </c>
      <c r="D61" t="inlineStr">
        <is>
          <t>FyF</t>
        </is>
      </c>
      <c r="E61" t="inlineStr">
        <is>
          <t>Overhead</t>
        </is>
      </c>
      <c r="F61" t="inlineStr">
        <is>
          <t>Phase 3</t>
        </is>
      </c>
      <c r="G61" s="2" t="n">
        <v>80000</v>
      </c>
      <c r="H61" s="2" t="n">
        <v>0</v>
      </c>
      <c r="I61" s="2">
        <f>G61+H61</f>
        <v/>
      </c>
      <c r="J61" s="2">
        <f>SUMIF(LEDGER!$A:$A,$B61,LEDGER!$G:$G)</f>
        <v/>
      </c>
      <c r="K61" s="2">
        <f>I61-J61</f>
        <v/>
      </c>
      <c r="L61" s="2">
        <f>J61+CD61</f>
        <v/>
      </c>
      <c r="M61" s="2">
        <f>I61-L61</f>
        <v/>
      </c>
      <c r="R61" s="2">
        <f>SUM(N61:Q61)</f>
        <v/>
      </c>
      <c r="W61" s="2">
        <f>SUM(S61:V61)</f>
        <v/>
      </c>
      <c r="AC61" s="2">
        <f>SUM(X61:AB61)</f>
        <v/>
      </c>
      <c r="AD61" s="2">
        <f>R61+W61+AC61</f>
        <v/>
      </c>
      <c r="AI61" s="2">
        <f>SUM(AE61:AH61)</f>
        <v/>
      </c>
      <c r="AM61" s="18" t="n">
        <v>40000</v>
      </c>
      <c r="AN61" s="2">
        <f>SUM(AJ61:AM61)</f>
        <v/>
      </c>
      <c r="AR61" s="18" t="n">
        <v>40000</v>
      </c>
      <c r="AT61" s="2">
        <f>SUM(AO61:AS61)</f>
        <v/>
      </c>
      <c r="AU61" s="2">
        <f>AI61+AN61+AT61</f>
        <v/>
      </c>
      <c r="AZ61" s="2">
        <f>SUM(AV61:AY61)</f>
        <v/>
      </c>
      <c r="BF61" s="2">
        <f>SUM(BA61:BE61)</f>
        <v/>
      </c>
      <c r="BK61" s="2">
        <f>SUM(BG61:BJ61)</f>
        <v/>
      </c>
      <c r="BL61" s="2">
        <f>AZ61+BF61+BK61</f>
        <v/>
      </c>
      <c r="BQ61" s="2">
        <f>SUM(BM61:BP61)</f>
        <v/>
      </c>
      <c r="BW61" s="2">
        <f>SUM(BR61:BV61)</f>
        <v/>
      </c>
      <c r="CB61" s="2">
        <f>SUM(BX61:CA61)</f>
        <v/>
      </c>
      <c r="CC61" s="2">
        <f>BQ61+BW61+CB61</f>
        <v/>
      </c>
      <c r="CD61" s="2">
        <f>AD61+AU61+BL61+CC61</f>
        <v/>
      </c>
    </row>
    <row r="62">
      <c r="A62" t="inlineStr">
        <is>
          <t>Approved</t>
        </is>
      </c>
      <c r="B62" t="inlineStr">
        <is>
          <t>1.2</t>
        </is>
      </c>
      <c r="C62" t="inlineStr">
        <is>
          <t>Opening Views</t>
        </is>
      </c>
      <c r="D62" t="inlineStr">
        <is>
          <t>Tree Man Co.</t>
        </is>
      </c>
      <c r="E62" t="inlineStr">
        <is>
          <t>Overhead</t>
        </is>
      </c>
      <c r="F62" t="inlineStr">
        <is>
          <t>Phase 3</t>
        </is>
      </c>
      <c r="G62" s="2" t="n">
        <v>52800</v>
      </c>
      <c r="H62" s="2" t="n">
        <v>0</v>
      </c>
      <c r="I62" s="2">
        <f>G62+H62</f>
        <v/>
      </c>
      <c r="J62" s="2">
        <f>SUMIF(LEDGER!$A:$A,$B62,LEDGER!$G:$G)</f>
        <v/>
      </c>
      <c r="K62" s="2">
        <f>I62-J62</f>
        <v/>
      </c>
      <c r="L62" s="2">
        <f>J62+CD62</f>
        <v/>
      </c>
      <c r="M62" s="2">
        <f>I62-L62</f>
        <v/>
      </c>
      <c r="R62" s="2">
        <f>SUM(N62:Q62)</f>
        <v/>
      </c>
      <c r="W62" s="2">
        <f>SUM(S62:V62)</f>
        <v/>
      </c>
      <c r="AC62" s="2">
        <f>SUM(X62:AB62)</f>
        <v/>
      </c>
      <c r="AD62" s="2">
        <f>R62+W62+AC62</f>
        <v/>
      </c>
      <c r="AI62" s="2">
        <f>SUM(AE62:AH62)</f>
        <v/>
      </c>
      <c r="AM62" s="17" t="n">
        <v>28380</v>
      </c>
      <c r="AN62" s="2">
        <f>SUM(AJ62:AM62)</f>
        <v/>
      </c>
      <c r="AT62" s="2">
        <f>SUM(AO62:AS62)</f>
        <v/>
      </c>
      <c r="AU62" s="2">
        <f>AI62+AN62+AT62</f>
        <v/>
      </c>
      <c r="AZ62" s="2">
        <f>SUM(AV62:AY62)</f>
        <v/>
      </c>
      <c r="BF62" s="2">
        <f>SUM(BA62:BE62)</f>
        <v/>
      </c>
      <c r="BG62" s="17" t="n">
        <v>4400</v>
      </c>
      <c r="BH62" s="17" t="n">
        <v>4400</v>
      </c>
      <c r="BI62" s="17" t="n">
        <v>4400</v>
      </c>
      <c r="BJ62" s="17" t="n">
        <v>4400</v>
      </c>
      <c r="BK62" s="2">
        <f>SUM(BG62:BJ62)</f>
        <v/>
      </c>
      <c r="BL62" s="2">
        <f>AZ62+BF62+BK62</f>
        <v/>
      </c>
      <c r="BQ62" s="2">
        <f>SUM(BM62:BP62)</f>
        <v/>
      </c>
      <c r="BW62" s="2">
        <f>SUM(BR62:BV62)</f>
        <v/>
      </c>
      <c r="CB62" s="2">
        <f>SUM(BX62:CA62)</f>
        <v/>
      </c>
      <c r="CC62" s="2">
        <f>BQ62+BW62+CB62</f>
        <v/>
      </c>
      <c r="CD62" s="2">
        <f>AD62+AU62+BL62+CC62</f>
        <v/>
      </c>
    </row>
    <row r="63">
      <c r="A63" t="inlineStr">
        <is>
          <t>Attention</t>
        </is>
      </c>
      <c r="B63" t="inlineStr">
        <is>
          <t>1.3</t>
        </is>
      </c>
      <c r="C63" t="inlineStr">
        <is>
          <t>Opening Paths to Important Areas</t>
        </is>
      </c>
      <c r="D63" t="inlineStr">
        <is>
          <t>Alexis</t>
        </is>
      </c>
      <c r="E63" t="inlineStr">
        <is>
          <t>Overhead</t>
        </is>
      </c>
      <c r="F63" t="inlineStr">
        <is>
          <t>Phase 3</t>
        </is>
      </c>
      <c r="G63" s="2" t="n">
        <v>6480</v>
      </c>
      <c r="H63" s="2" t="n">
        <v>0</v>
      </c>
      <c r="I63" s="2">
        <f>G63+H63</f>
        <v/>
      </c>
      <c r="J63" s="2">
        <f>SUMIF(LEDGER!$A:$A,$B63,LEDGER!$G:$G)</f>
        <v/>
      </c>
      <c r="K63" s="2">
        <f>I63-J63</f>
        <v/>
      </c>
      <c r="L63" s="2">
        <f>J63+CD63</f>
        <v/>
      </c>
      <c r="M63" s="2">
        <f>I63-L63</f>
        <v/>
      </c>
      <c r="R63" s="2">
        <f>SUM(N63:Q63)</f>
        <v/>
      </c>
      <c r="W63" s="2">
        <f>SUM(S63:V63)</f>
        <v/>
      </c>
      <c r="AC63" s="2">
        <f>SUM(X63:AB63)</f>
        <v/>
      </c>
      <c r="AD63" s="2">
        <f>R63+W63+AC63</f>
        <v/>
      </c>
      <c r="AI63" s="2">
        <f>SUM(AE63:AH63)</f>
        <v/>
      </c>
      <c r="AN63" s="2">
        <f>SUM(AJ63:AM63)</f>
        <v/>
      </c>
      <c r="AT63" s="2">
        <f>SUM(AO63:AS63)</f>
        <v/>
      </c>
      <c r="AU63" s="2">
        <f>AI63+AN63+AT63</f>
        <v/>
      </c>
      <c r="AZ63" s="2">
        <f>SUM(AV63:AY63)</f>
        <v/>
      </c>
      <c r="BF63" s="2">
        <f>SUM(BA63:BE63)</f>
        <v/>
      </c>
      <c r="BK63" s="2">
        <f>SUM(BG63:BJ63)</f>
        <v/>
      </c>
      <c r="BL63" s="2">
        <f>AZ63+BF63+BK63</f>
        <v/>
      </c>
      <c r="BQ63" s="2">
        <f>SUM(BM63:BP63)</f>
        <v/>
      </c>
      <c r="BW63" s="2">
        <f>SUM(BR63:BV63)</f>
        <v/>
      </c>
      <c r="CB63" s="2">
        <f>SUM(BX63:CA63)</f>
        <v/>
      </c>
      <c r="CC63" s="2">
        <f>BQ63+BW63+CB63</f>
        <v/>
      </c>
      <c r="CD63" s="2">
        <f>AD63+AU63+BL63+CC63</f>
        <v/>
      </c>
    </row>
    <row r="64">
      <c r="A64" t="inlineStr">
        <is>
          <t>Attention</t>
        </is>
      </c>
      <c r="B64" t="inlineStr">
        <is>
          <t>1.4</t>
        </is>
      </c>
      <c r="C64" t="inlineStr">
        <is>
          <t>Water System</t>
        </is>
      </c>
      <c r="D64" t="inlineStr">
        <is>
          <t>Blake</t>
        </is>
      </c>
      <c r="E64" t="inlineStr">
        <is>
          <t>Overhead</t>
        </is>
      </c>
      <c r="F64" t="inlineStr">
        <is>
          <t>Phase 3</t>
        </is>
      </c>
      <c r="G64" s="2" t="n">
        <v>155000</v>
      </c>
      <c r="H64" s="2" t="n">
        <v>50314.4</v>
      </c>
      <c r="I64" s="2">
        <f>G64+H64</f>
        <v/>
      </c>
      <c r="J64" s="2">
        <f>SUMIF(LEDGER!$A:$A,$B64,LEDGER!$G:$G)</f>
        <v/>
      </c>
      <c r="K64" s="2">
        <f>I64-J64</f>
        <v/>
      </c>
      <c r="L64" s="2">
        <f>J64+CD64</f>
        <v/>
      </c>
      <c r="M64" s="2">
        <f>I64-L64</f>
        <v/>
      </c>
      <c r="R64" s="2">
        <f>SUM(N64:Q64)</f>
        <v/>
      </c>
      <c r="W64" s="2">
        <f>SUM(S64:V64)</f>
        <v/>
      </c>
      <c r="AC64" s="2">
        <f>SUM(X64:AB64)</f>
        <v/>
      </c>
      <c r="AD64" s="2">
        <f>R64+W64+AC64</f>
        <v/>
      </c>
      <c r="AI64" s="2">
        <f>SUM(AE64:AH64)</f>
        <v/>
      </c>
      <c r="AN64" s="2">
        <f>SUM(AJ64:AM64)</f>
        <v/>
      </c>
      <c r="AT64" s="2">
        <f>SUM(AO64:AS64)</f>
        <v/>
      </c>
      <c r="AU64" s="2">
        <f>AI64+AN64+AT64</f>
        <v/>
      </c>
      <c r="AZ64" s="2">
        <f>SUM(AV64:AY64)</f>
        <v/>
      </c>
      <c r="BF64" s="2">
        <f>SUM(BA64:BE64)</f>
        <v/>
      </c>
      <c r="BK64" s="2">
        <f>SUM(BG64:BJ64)</f>
        <v/>
      </c>
      <c r="BL64" s="2">
        <f>AZ64+BF64+BK64</f>
        <v/>
      </c>
      <c r="BQ64" s="2">
        <f>SUM(BM64:BP64)</f>
        <v/>
      </c>
      <c r="BW64" s="2">
        <f>SUM(BR64:BV64)</f>
        <v/>
      </c>
      <c r="CB64" s="2">
        <f>SUM(BX64:CA64)</f>
        <v/>
      </c>
      <c r="CC64" s="2">
        <f>BQ64+BW64+CB64</f>
        <v/>
      </c>
      <c r="CD64" s="2">
        <f>AD64+AU64+BL64+CC64</f>
        <v/>
      </c>
    </row>
    <row r="65">
      <c r="A65" t="inlineStr">
        <is>
          <t>Approved</t>
        </is>
      </c>
      <c r="B65" t="inlineStr">
        <is>
          <t>6.1</t>
        </is>
      </c>
      <c r="C65" t="inlineStr">
        <is>
          <t>Trim Trees to See View</t>
        </is>
      </c>
      <c r="D65" t="inlineStr">
        <is>
          <t>Tree Man Co.</t>
        </is>
      </c>
      <c r="E65" t="inlineStr">
        <is>
          <t>Overhead</t>
        </is>
      </c>
      <c r="F65" t="inlineStr">
        <is>
          <t>PROPERTY</t>
        </is>
      </c>
      <c r="G65" s="2" t="n">
        <v>7500</v>
      </c>
      <c r="H65" s="2" t="n">
        <v>0</v>
      </c>
      <c r="I65" s="2">
        <f>G65+H65</f>
        <v/>
      </c>
      <c r="J65" s="2">
        <f>SUMIF(LEDGER!$A:$A,$B65,LEDGER!$G:$G)</f>
        <v/>
      </c>
      <c r="K65" s="2">
        <f>I65-J65</f>
        <v/>
      </c>
      <c r="L65" s="2">
        <f>J65+CD65</f>
        <v/>
      </c>
      <c r="M65" s="2">
        <f>I65-L65</f>
        <v/>
      </c>
      <c r="R65" s="2">
        <f>SUM(N65:Q65)</f>
        <v/>
      </c>
      <c r="W65" s="2">
        <f>SUM(S65:V65)</f>
        <v/>
      </c>
      <c r="AC65" s="2">
        <f>SUM(X65:AB65)</f>
        <v/>
      </c>
      <c r="AD65" s="2">
        <f>R65+W65+AC65</f>
        <v/>
      </c>
      <c r="AE65" s="17" t="n">
        <v>7500</v>
      </c>
      <c r="AI65" s="2">
        <f>SUM(AE65:AH65)</f>
        <v/>
      </c>
      <c r="AN65" s="2">
        <f>SUM(AJ65:AM65)</f>
        <v/>
      </c>
      <c r="AT65" s="2">
        <f>SUM(AO65:AS65)</f>
        <v/>
      </c>
      <c r="AU65" s="2">
        <f>AI65+AN65+AT65</f>
        <v/>
      </c>
      <c r="AZ65" s="2">
        <f>SUM(AV65:AY65)</f>
        <v/>
      </c>
      <c r="BF65" s="2">
        <f>SUM(BA65:BE65)</f>
        <v/>
      </c>
      <c r="BK65" s="2">
        <f>SUM(BG65:BJ65)</f>
        <v/>
      </c>
      <c r="BL65" s="2">
        <f>AZ65+BF65+BK65</f>
        <v/>
      </c>
      <c r="BQ65" s="2">
        <f>SUM(BM65:BP65)</f>
        <v/>
      </c>
      <c r="BW65" s="2">
        <f>SUM(BR65:BV65)</f>
        <v/>
      </c>
      <c r="CB65" s="2">
        <f>SUM(BX65:CA65)</f>
        <v/>
      </c>
      <c r="CC65" s="2">
        <f>BQ65+BW65+CB65</f>
        <v/>
      </c>
      <c r="CD65" s="2">
        <f>AD65+AU65+BL65+CC65</f>
        <v/>
      </c>
    </row>
    <row r="66">
      <c r="A66" t="inlineStr">
        <is>
          <t>Approved</t>
        </is>
      </c>
      <c r="B66" t="inlineStr">
        <is>
          <t>6.2</t>
        </is>
      </c>
      <c r="C66" t="inlineStr">
        <is>
          <t>Survey Water Easement and Register</t>
        </is>
      </c>
      <c r="D66" t="inlineStr">
        <is>
          <t>Marvin</t>
        </is>
      </c>
      <c r="E66" t="inlineStr">
        <is>
          <t>Overhead</t>
        </is>
      </c>
      <c r="F66" t="inlineStr">
        <is>
          <t>PROPERTY</t>
        </is>
      </c>
      <c r="G66" s="2" t="n">
        <v>7500</v>
      </c>
      <c r="H66" s="2" t="n">
        <v>5450</v>
      </c>
      <c r="I66" s="2">
        <f>G66+H66</f>
        <v/>
      </c>
      <c r="J66" s="2">
        <f>SUMIF(LEDGER!$A:$A,$B66,LEDGER!$G:$G)</f>
        <v/>
      </c>
      <c r="K66" s="2">
        <f>I66-J66</f>
        <v/>
      </c>
      <c r="L66" s="2">
        <f>J66+CD66</f>
        <v/>
      </c>
      <c r="M66" s="2">
        <f>I66-L66</f>
        <v/>
      </c>
      <c r="R66" s="2">
        <f>SUM(N66:Q66)</f>
        <v/>
      </c>
      <c r="W66" s="2">
        <f>SUM(S66:V66)</f>
        <v/>
      </c>
      <c r="AC66" s="2">
        <f>SUM(X66:AB66)</f>
        <v/>
      </c>
      <c r="AD66" s="2">
        <f>R66+W66+AC66</f>
        <v/>
      </c>
      <c r="AI66" s="2">
        <f>SUM(AE66:AH66)</f>
        <v/>
      </c>
      <c r="AN66" s="2">
        <f>SUM(AJ66:AM66)</f>
        <v/>
      </c>
      <c r="AT66" s="2">
        <f>SUM(AO66:AS66)</f>
        <v/>
      </c>
      <c r="AU66" s="2">
        <f>AI66+AN66+AT66</f>
        <v/>
      </c>
      <c r="AV66" s="17" t="n">
        <v>2500</v>
      </c>
      <c r="AZ66" s="2">
        <f>SUM(AV66:AY66)</f>
        <v/>
      </c>
      <c r="BF66" s="2">
        <f>SUM(BA66:BE66)</f>
        <v/>
      </c>
      <c r="BK66" s="2">
        <f>SUM(BG66:BJ66)</f>
        <v/>
      </c>
      <c r="BL66" s="2">
        <f>AZ66+BF66+BK66</f>
        <v/>
      </c>
      <c r="BQ66" s="2">
        <f>SUM(BM66:BP66)</f>
        <v/>
      </c>
      <c r="BW66" s="2">
        <f>SUM(BR66:BV66)</f>
        <v/>
      </c>
      <c r="CB66" s="2">
        <f>SUM(BX66:CA66)</f>
        <v/>
      </c>
      <c r="CC66" s="2">
        <f>BQ66+BW66+CB66</f>
        <v/>
      </c>
      <c r="CD66" s="2">
        <f>AD66+AU66+BL66+CC66</f>
        <v/>
      </c>
    </row>
    <row r="67">
      <c r="A67" t="inlineStr">
        <is>
          <t>Approved</t>
        </is>
      </c>
      <c r="B67" t="inlineStr">
        <is>
          <t>6.3</t>
        </is>
      </c>
      <c r="C67" t="inlineStr">
        <is>
          <t>Cut Driveway and Building Pad + Gravel + Culverts</t>
        </is>
      </c>
      <c r="D67" t="inlineStr">
        <is>
          <t>Sibaja</t>
        </is>
      </c>
      <c r="E67" t="inlineStr">
        <is>
          <t>Overhead</t>
        </is>
      </c>
      <c r="F67" t="inlineStr">
        <is>
          <t>PROPERTY</t>
        </is>
      </c>
      <c r="G67" s="2" t="n">
        <v>20000</v>
      </c>
      <c r="H67" s="2" t="n">
        <v>20000</v>
      </c>
      <c r="I67" s="2">
        <f>G67+H67</f>
        <v/>
      </c>
      <c r="J67" s="2">
        <f>SUMIF(LEDGER!$A:$A,$B67,LEDGER!$G:$G)</f>
        <v/>
      </c>
      <c r="K67" s="2">
        <f>I67-J67</f>
        <v/>
      </c>
      <c r="L67" s="2">
        <f>J67+CD67</f>
        <v/>
      </c>
      <c r="M67" s="2">
        <f>I67-L67</f>
        <v/>
      </c>
      <c r="R67" s="2">
        <f>SUM(N67:Q67)</f>
        <v/>
      </c>
      <c r="W67" s="2">
        <f>SUM(S67:V67)</f>
        <v/>
      </c>
      <c r="AC67" s="2">
        <f>SUM(X67:AB67)</f>
        <v/>
      </c>
      <c r="AD67" s="2">
        <f>R67+W67+AC67</f>
        <v/>
      </c>
      <c r="AI67" s="2">
        <f>SUM(AE67:AH67)</f>
        <v/>
      </c>
      <c r="AN67" s="2">
        <f>SUM(AJ67:AM67)</f>
        <v/>
      </c>
      <c r="AT67" s="2">
        <f>SUM(AO67:AS67)</f>
        <v/>
      </c>
      <c r="AU67" s="2">
        <f>AI67+AN67+AT67</f>
        <v/>
      </c>
      <c r="AZ67" s="2">
        <f>SUM(AV67:AY67)</f>
        <v/>
      </c>
      <c r="BF67" s="2">
        <f>SUM(BA67:BE67)</f>
        <v/>
      </c>
      <c r="BK67" s="2">
        <f>SUM(BG67:BJ67)</f>
        <v/>
      </c>
      <c r="BL67" s="2">
        <f>AZ67+BF67+BK67</f>
        <v/>
      </c>
      <c r="BM67" s="17" t="n">
        <v>22416.85</v>
      </c>
      <c r="BQ67" s="2">
        <f>SUM(BM67:BP67)</f>
        <v/>
      </c>
      <c r="BW67" s="2">
        <f>SUM(BR67:BV67)</f>
        <v/>
      </c>
      <c r="CB67" s="2">
        <f>SUM(BX67:CA67)</f>
        <v/>
      </c>
      <c r="CC67" s="2">
        <f>BQ67+BW67+CB67</f>
        <v/>
      </c>
      <c r="CD67" s="2">
        <f>AD67+AU67+BL67+CC67</f>
        <v/>
      </c>
    </row>
    <row r="68">
      <c r="A68" t="inlineStr">
        <is>
          <t>Approved</t>
        </is>
      </c>
      <c r="B68" t="inlineStr">
        <is>
          <t>6.4</t>
        </is>
      </c>
      <c r="C68" t="inlineStr">
        <is>
          <t>Closing Costs</t>
        </is>
      </c>
      <c r="D68" t="inlineStr">
        <is>
          <t>Karol</t>
        </is>
      </c>
      <c r="E68" t="inlineStr">
        <is>
          <t>Overhead</t>
        </is>
      </c>
      <c r="F68" t="inlineStr">
        <is>
          <t>PROPERTY</t>
        </is>
      </c>
      <c r="G68" s="2" t="n">
        <v>48000</v>
      </c>
      <c r="H68" s="2" t="n">
        <v>0</v>
      </c>
      <c r="I68" s="2">
        <f>G68+H68</f>
        <v/>
      </c>
      <c r="J68" s="2">
        <f>SUMIF(LEDGER!$A:$A,$B68,LEDGER!$G:$G)</f>
        <v/>
      </c>
      <c r="K68" s="2">
        <f>I68-J68</f>
        <v/>
      </c>
      <c r="L68" s="2">
        <f>J68+CD68</f>
        <v/>
      </c>
      <c r="M68" s="2">
        <f>I68-L68</f>
        <v/>
      </c>
      <c r="R68" s="2">
        <f>SUM(N68:Q68)</f>
        <v/>
      </c>
      <c r="W68" s="2">
        <f>SUM(S68:V68)</f>
        <v/>
      </c>
      <c r="X68" s="17" t="n">
        <v>48000</v>
      </c>
      <c r="AC68" s="2">
        <f>SUM(X68:AB68)</f>
        <v/>
      </c>
      <c r="AD68" s="2">
        <f>R68+W68+AC68</f>
        <v/>
      </c>
      <c r="AI68" s="2">
        <f>SUM(AE68:AH68)</f>
        <v/>
      </c>
      <c r="AN68" s="2">
        <f>SUM(AJ68:AM68)</f>
        <v/>
      </c>
      <c r="AT68" s="2">
        <f>SUM(AO68:AS68)</f>
        <v/>
      </c>
      <c r="AU68" s="2">
        <f>AI68+AN68+AT68</f>
        <v/>
      </c>
      <c r="AZ68" s="2">
        <f>SUM(AV68:AY68)</f>
        <v/>
      </c>
      <c r="BF68" s="2">
        <f>SUM(BA68:BE68)</f>
        <v/>
      </c>
      <c r="BK68" s="2">
        <f>SUM(BG68:BJ68)</f>
        <v/>
      </c>
      <c r="BL68" s="2">
        <f>AZ68+BF68+BK68</f>
        <v/>
      </c>
      <c r="BQ68" s="2">
        <f>SUM(BM68:BP68)</f>
        <v/>
      </c>
      <c r="BW68" s="2">
        <f>SUM(BR68:BV68)</f>
        <v/>
      </c>
      <c r="CB68" s="2">
        <f>SUM(BX68:CA68)</f>
        <v/>
      </c>
      <c r="CC68" s="2">
        <f>BQ68+BW68+CB68</f>
        <v/>
      </c>
      <c r="CD68" s="2">
        <f>AD68+AU68+BL68+CC68</f>
        <v/>
      </c>
    </row>
    <row r="69">
      <c r="B69" t="inlineStr">
        <is>
          <t>6</t>
        </is>
      </c>
      <c r="C69" t="inlineStr">
        <is>
          <t>Property Sale</t>
        </is>
      </c>
      <c r="D69" t="inlineStr">
        <is>
          <t>Karol</t>
        </is>
      </c>
      <c r="E69" t="inlineStr">
        <is>
          <t>Overhead</t>
        </is>
      </c>
      <c r="F69" t="inlineStr">
        <is>
          <t>PROPERTY</t>
        </is>
      </c>
      <c r="G69" s="2" t="n">
        <v>-480000</v>
      </c>
      <c r="H69" s="2" t="n">
        <v>0</v>
      </c>
      <c r="I69" s="2">
        <f>G69+H69</f>
        <v/>
      </c>
      <c r="J69" s="2">
        <f>SUMIF(LEDGER!$A:$A,$B69,LEDGER!$G:$G)</f>
        <v/>
      </c>
      <c r="K69" s="2">
        <f>I69-J69</f>
        <v/>
      </c>
      <c r="L69" s="2">
        <f>J69+CD69</f>
        <v/>
      </c>
      <c r="M69" s="2">
        <f>I69-L69</f>
        <v/>
      </c>
      <c r="N69" s="16" t="n"/>
      <c r="O69" s="16" t="n"/>
      <c r="P69" s="16" t="n"/>
      <c r="Q69" s="16" t="n"/>
      <c r="R69" s="2">
        <f>SUM(N69:Q69)</f>
        <v/>
      </c>
      <c r="S69" s="16" t="n"/>
      <c r="T69" s="16" t="n"/>
      <c r="U69" s="16" t="n"/>
      <c r="V69" s="16" t="n"/>
      <c r="W69" s="2">
        <f>SUM(S69:V69)</f>
        <v/>
      </c>
      <c r="X69" s="19" t="n">
        <v>-480000</v>
      </c>
      <c r="Y69" s="16" t="n"/>
      <c r="Z69" s="16" t="n"/>
      <c r="AA69" s="16" t="n"/>
      <c r="AB69" s="16" t="n"/>
      <c r="AC69" s="2">
        <f>SUM(X69:AB69)</f>
        <v/>
      </c>
      <c r="AD69" s="2">
        <f>R69+W69+AC69</f>
        <v/>
      </c>
      <c r="AE69" s="16" t="n"/>
      <c r="AF69" s="16" t="n"/>
      <c r="AG69" s="16" t="n"/>
      <c r="AH69" s="16" t="n"/>
      <c r="AI69" s="2">
        <f>SUM(AE69:AH69)</f>
        <v/>
      </c>
      <c r="AJ69" s="16" t="n"/>
      <c r="AK69" s="16" t="n"/>
      <c r="AL69" s="16" t="n"/>
      <c r="AM69" s="16" t="n"/>
      <c r="AN69" s="2">
        <f>SUM(AJ69:AM69)</f>
        <v/>
      </c>
      <c r="AO69" s="16" t="n"/>
      <c r="AP69" s="16" t="n"/>
      <c r="AQ69" s="16" t="n"/>
      <c r="AR69" s="16" t="n"/>
      <c r="AS69" s="16" t="n"/>
      <c r="AT69" s="2">
        <f>SUM(AO69:AS69)</f>
        <v/>
      </c>
      <c r="AU69" s="2">
        <f>AI69+AN69+AT69</f>
        <v/>
      </c>
      <c r="AV69" s="16" t="n"/>
      <c r="AW69" s="16" t="n"/>
      <c r="AX69" s="16" t="n"/>
      <c r="AY69" s="16" t="n"/>
      <c r="AZ69" s="2">
        <f>SUM(AV69:AY69)</f>
        <v/>
      </c>
      <c r="BA69" s="16" t="n"/>
      <c r="BB69" s="16" t="n"/>
      <c r="BC69" s="16" t="n"/>
      <c r="BD69" s="16" t="n"/>
      <c r="BE69" s="16" t="n"/>
      <c r="BF69" s="2">
        <f>SUM(BA69:BE69)</f>
        <v/>
      </c>
      <c r="BG69" s="16" t="n"/>
      <c r="BH69" s="16" t="n"/>
      <c r="BI69" s="16" t="n"/>
      <c r="BJ69" s="16" t="n"/>
      <c r="BK69" s="2">
        <f>SUM(BG69:BJ69)</f>
        <v/>
      </c>
      <c r="BL69" s="2">
        <f>AZ69+BF69+BK69</f>
        <v/>
      </c>
      <c r="BM69" s="16" t="n"/>
      <c r="BN69" s="16" t="n"/>
      <c r="BO69" s="16" t="n"/>
      <c r="BP69" s="16" t="n"/>
      <c r="BQ69" s="2">
        <f>SUM(BM69:BP69)</f>
        <v/>
      </c>
      <c r="BR69" s="16" t="n"/>
      <c r="BS69" s="16" t="n"/>
      <c r="BT69" s="16" t="n"/>
      <c r="BU69" s="16" t="n"/>
      <c r="BV69" s="16" t="n"/>
      <c r="BW69" s="2">
        <f>SUM(BR69:BV69)</f>
        <v/>
      </c>
      <c r="BX69" s="16" t="n"/>
      <c r="BY69" s="16" t="n"/>
      <c r="BZ69" s="16" t="n"/>
      <c r="CA69" s="16" t="n"/>
      <c r="CB69" s="2">
        <f>SUM(BX69:CA69)</f>
        <v/>
      </c>
      <c r="CC69" s="2">
        <f>BQ69+BW69+CB69</f>
        <v/>
      </c>
      <c r="CD69" s="2">
        <f>AD69+AU69+BL69+CC69</f>
        <v/>
      </c>
    </row>
    <row r="70">
      <c r="A70" s="10" t="n"/>
      <c r="B70" s="10" t="n"/>
      <c r="C70" s="11" t="inlineStr">
        <is>
          <t>TOTAL Overhead</t>
        </is>
      </c>
      <c r="D70" s="10" t="n"/>
      <c r="E70" s="10" t="n"/>
      <c r="F70" s="10" t="n"/>
      <c r="G70" s="15">
        <f>G43+G44+G45+G46+G47+G48+G49+G50+G51+G52+G53+G54+G55+G56+G57+G58+G59+G60+G61+G62+G63+G64+G65+G66+G67+G68+G69</f>
        <v/>
      </c>
      <c r="H70" s="15">
        <f>H43+H44+H45+H46+H47+H48+H49+H50+H51+H52+H53+H54+H55+H56+H57+H58+H59+H60+H61+H62+H63+H64+H65+H66+H67+H68+H69</f>
        <v/>
      </c>
      <c r="I70" s="15">
        <f>I43+I44+I45+I46+I47+I48+I49+I50+I51+I52+I53+I54+I55+I56+I57+I58+I59+I60+I61+I62+I63+I64+I65+I66+I67+I68+I69</f>
        <v/>
      </c>
      <c r="J70" s="15">
        <f>J43+J44+J45+J46+J47+J48+J49+J50+J51+J52+J53+J54+J55+J56+J57+J58+J59+J60+J61+J62+J63+J64+J65+J66+J67+J68+J69</f>
        <v/>
      </c>
      <c r="K70" s="15">
        <f>K43+K44+K45+K46+K47+K48+K49+K50+K51+K52+K53+K54+K55+K56+K57+K58+K59+K60+K61+K62+K63+K64+K65+K66+K67+K68+K69</f>
        <v/>
      </c>
      <c r="L70" s="15">
        <f>L43+L44+L45+L46+L47+L48+L49+L50+L51+L52+L53+L54+L55+L56+L57+L58+L59+L60+L61+L62+L63+L64+L65+L66+L67+L68+L69</f>
        <v/>
      </c>
      <c r="M70" s="15">
        <f>M43+M44+M45+M46+M47+M48+M49+M50+M51+M52+M53+M54+M55+M56+M57+M58+M59+M60+M61+M62+M63+M64+M65+M66+M67+M68+M69</f>
        <v/>
      </c>
      <c r="N70" s="10" t="n"/>
      <c r="O70" s="10" t="n"/>
      <c r="P70" s="10" t="n"/>
      <c r="Q70" s="10" t="n"/>
      <c r="R70" s="15">
        <f>R43+R44+R45+R46+R47+R48+R49+R50+R51+R52+R53+R54+R55+R56+R57+R58+R59+R60+R61+R62+R63+R64+R65+R66+R67+R68+R69</f>
        <v/>
      </c>
      <c r="S70" s="10" t="n"/>
      <c r="T70" s="10" t="n"/>
      <c r="U70" s="10" t="n"/>
      <c r="V70" s="10" t="n"/>
      <c r="W70" s="15">
        <f>W43+W44+W45+W46+W47+W48+W49+W50+W51+W52+W53+W54+W55+W56+W57+W58+W59+W60+W61+W62+W63+W64+W65+W66+W67+W68+W69</f>
        <v/>
      </c>
      <c r="X70" s="10" t="n"/>
      <c r="Y70" s="10" t="n"/>
      <c r="Z70" s="10" t="n"/>
      <c r="AA70" s="10" t="n"/>
      <c r="AB70" s="10" t="n"/>
      <c r="AC70" s="15">
        <f>AC43+AC44+AC45+AC46+AC47+AC48+AC49+AC50+AC51+AC52+AC53+AC54+AC55+AC56+AC57+AC58+AC59+AC60+AC61+AC62+AC63+AC64+AC65+AC66+AC67+AC68+AC69</f>
        <v/>
      </c>
      <c r="AD70" s="15">
        <f>AD43+AD44+AD45+AD46+AD47+AD48+AD49+AD50+AD51+AD52+AD53+AD54+AD55+AD56+AD57+AD58+AD59+AD60+AD61+AD62+AD63+AD64+AD65+AD66+AD67+AD68+AD69</f>
        <v/>
      </c>
      <c r="AE70" s="10" t="n"/>
      <c r="AF70" s="10" t="n"/>
      <c r="AG70" s="10" t="n"/>
      <c r="AH70" s="10" t="n"/>
      <c r="AI70" s="15">
        <f>AI43+AI44+AI45+AI46+AI47+AI48+AI49+AI50+AI51+AI52+AI53+AI54+AI55+AI56+AI57+AI58+AI59+AI60+AI61+AI62+AI63+AI64+AI65+AI66+AI67+AI68+AI69</f>
        <v/>
      </c>
      <c r="AJ70" s="10" t="n"/>
      <c r="AK70" s="10" t="n"/>
      <c r="AL70" s="10" t="n"/>
      <c r="AM70" s="10" t="n"/>
      <c r="AN70" s="15">
        <f>AN43+AN44+AN45+AN46+AN47+AN48+AN49+AN50+AN51+AN52+AN53+AN54+AN55+AN56+AN57+AN58+AN59+AN60+AN61+AN62+AN63+AN64+AN65+AN66+AN67+AN68+AN69</f>
        <v/>
      </c>
      <c r="AO70" s="10" t="n"/>
      <c r="AP70" s="10" t="n"/>
      <c r="AQ70" s="10" t="n"/>
      <c r="AR70" s="10" t="n"/>
      <c r="AS70" s="10" t="n"/>
      <c r="AT70" s="15">
        <f>AT43+AT44+AT45+AT46+AT47+AT48+AT49+AT50+AT51+AT52+AT53+AT54+AT55+AT56+AT57+AT58+AT59+AT60+AT61+AT62+AT63+AT64+AT65+AT66+AT67+AT68+AT69</f>
        <v/>
      </c>
      <c r="AU70" s="15">
        <f>AU43+AU44+AU45+AU46+AU47+AU48+AU49+AU50+AU51+AU52+AU53+AU54+AU55+AU56+AU57+AU58+AU59+AU60+AU61+AU62+AU63+AU64+AU65+AU66+AU67+AU68+AU69</f>
        <v/>
      </c>
      <c r="AV70" s="10" t="n"/>
      <c r="AW70" s="10" t="n"/>
      <c r="AX70" s="10" t="n"/>
      <c r="AY70" s="10" t="n"/>
      <c r="AZ70" s="15">
        <f>AZ43+AZ44+AZ45+AZ46+AZ47+AZ48+AZ49+AZ50+AZ51+AZ52+AZ53+AZ54+AZ55+AZ56+AZ57+AZ58+AZ59+AZ60+AZ61+AZ62+AZ63+AZ64+AZ65+AZ66+AZ67+AZ68+AZ69</f>
        <v/>
      </c>
      <c r="BA70" s="10" t="n"/>
      <c r="BB70" s="10" t="n"/>
      <c r="BC70" s="10" t="n"/>
      <c r="BD70" s="10" t="n"/>
      <c r="BE70" s="10" t="n"/>
      <c r="BF70" s="15">
        <f>BF43+BF44+BF45+BF46+BF47+BF48+BF49+BF50+BF51+BF52+BF53+BF54+BF55+BF56+BF57+BF58+BF59+BF60+BF61+BF62+BF63+BF64+BF65+BF66+BF67+BF68+BF69</f>
        <v/>
      </c>
      <c r="BG70" s="10" t="n"/>
      <c r="BH70" s="10" t="n"/>
      <c r="BI70" s="10" t="n"/>
      <c r="BJ70" s="10" t="n"/>
      <c r="BK70" s="15">
        <f>BK43+BK44+BK45+BK46+BK47+BK48+BK49+BK50+BK51+BK52+BK53+BK54+BK55+BK56+BK57+BK58+BK59+BK60+BK61+BK62+BK63+BK64+BK65+BK66+BK67+BK68+BK69</f>
        <v/>
      </c>
      <c r="BL70" s="15">
        <f>BL43+BL44+BL45+BL46+BL47+BL48+BL49+BL50+BL51+BL52+BL53+BL54+BL55+BL56+BL57+BL58+BL59+BL60+BL61+BL62+BL63+BL64+BL65+BL66+BL67+BL68+BL69</f>
        <v/>
      </c>
      <c r="BM70" s="10" t="n"/>
      <c r="BN70" s="10" t="n"/>
      <c r="BO70" s="10" t="n"/>
      <c r="BP70" s="10" t="n"/>
      <c r="BQ70" s="15">
        <f>BQ43+BQ44+BQ45+BQ46+BQ47+BQ48+BQ49+BQ50+BQ51+BQ52+BQ53+BQ54+BQ55+BQ56+BQ57+BQ58+BQ59+BQ60+BQ61+BQ62+BQ63+BQ64+BQ65+BQ66+BQ67+BQ68+BQ69</f>
        <v/>
      </c>
      <c r="BR70" s="10" t="n"/>
      <c r="BS70" s="10" t="n"/>
      <c r="BT70" s="10" t="n"/>
      <c r="BU70" s="10" t="n"/>
      <c r="BV70" s="10" t="n"/>
      <c r="BW70" s="15">
        <f>BW43+BW44+BW45+BW46+BW47+BW48+BW49+BW50+BW51+BW52+BW53+BW54+BW55+BW56+BW57+BW58+BW59+BW60+BW61+BW62+BW63+BW64+BW65+BW66+BW67+BW68+BW69</f>
        <v/>
      </c>
      <c r="BX70" s="10" t="n"/>
      <c r="BY70" s="10" t="n"/>
      <c r="BZ70" s="10" t="n"/>
      <c r="CA70" s="10" t="n"/>
      <c r="CB70" s="15">
        <f>CB43+CB44+CB45+CB46+CB47+CB48+CB49+CB50+CB51+CB52+CB53+CB54+CB55+CB56+CB57+CB58+CB59+CB60+CB61+CB62+CB63+CB64+CB65+CB66+CB67+CB68+CB69</f>
        <v/>
      </c>
      <c r="CC70" s="15">
        <f>CC43+CC44+CC45+CC46+CC47+CC48+CC49+CC50+CC51+CC52+CC53+CC54+CC55+CC56+CC57+CC58+CC59+CC60+CC61+CC62+CC63+CC64+CC65+CC66+CC67+CC68+CC69</f>
        <v/>
      </c>
      <c r="CD70" s="15">
        <f>CD43+CD44+CD45+CD46+CD47+CD48+CD49+CD50+CD51+CD52+CD53+CD54+CD55+CD56+CD57+CD58+CD59+CD60+CD61+CD62+CD63+CD64+CD65+CD66+CD67+CD68+CD69</f>
        <v/>
      </c>
    </row>
    <row r="71">
      <c r="A71" s="12" t="inlineStr">
        <is>
          <t>SETENA D1</t>
        </is>
      </c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  <c r="BK71" s="13" t="n"/>
      <c r="BL71" s="13" t="n"/>
      <c r="BM71" s="13" t="n"/>
      <c r="BN71" s="13" t="n"/>
      <c r="BO71" s="13" t="n"/>
      <c r="BP71" s="13" t="n"/>
      <c r="BQ71" s="13" t="n"/>
      <c r="BR71" s="13" t="n"/>
      <c r="BS71" s="13" t="n"/>
      <c r="BT71" s="13" t="n"/>
      <c r="BU71" s="13" t="n"/>
      <c r="BV71" s="13" t="n"/>
      <c r="BW71" s="13" t="n"/>
      <c r="BX71" s="13" t="n"/>
      <c r="BY71" s="13" t="n"/>
      <c r="BZ71" s="13" t="n"/>
      <c r="CA71" s="13" t="n"/>
      <c r="CB71" s="13" t="n"/>
      <c r="CC71" s="13" t="n"/>
      <c r="CD71" s="13" t="n"/>
    </row>
    <row r="72">
      <c r="A72" t="inlineStr">
        <is>
          <t>In process</t>
        </is>
      </c>
      <c r="B72" t="inlineStr">
        <is>
          <t>3.1</t>
        </is>
      </c>
      <c r="C72" t="inlineStr">
        <is>
          <t>Preliminary environmental study, D1 form</t>
        </is>
      </c>
      <c r="D72" t="inlineStr">
        <is>
          <t>DEHC</t>
        </is>
      </c>
      <c r="E72" t="inlineStr">
        <is>
          <t>Setena D1</t>
        </is>
      </c>
      <c r="F72" t="inlineStr">
        <is>
          <t>STUDIES</t>
        </is>
      </c>
      <c r="G72" s="2" t="n">
        <v>14577</v>
      </c>
      <c r="H72" s="2" t="n">
        <v>130000</v>
      </c>
      <c r="I72" s="2">
        <f>G72+H72</f>
        <v/>
      </c>
      <c r="J72" s="2">
        <f>SUMIF(LEDGER!$A:$A,$B72,LEDGER!$G:$G)</f>
        <v/>
      </c>
      <c r="K72" s="2">
        <f>I72-J72</f>
        <v/>
      </c>
      <c r="L72" s="2">
        <f>J72+CD72</f>
        <v/>
      </c>
      <c r="M72" s="2">
        <f>I72-L72</f>
        <v/>
      </c>
      <c r="R72" s="2">
        <f>SUM(N72:Q72)</f>
        <v/>
      </c>
      <c r="W72" s="2">
        <f>SUM(S72:V72)</f>
        <v/>
      </c>
      <c r="AC72" s="2">
        <f>SUM(X72:AB72)</f>
        <v/>
      </c>
      <c r="AD72" s="2">
        <f>R72+W72+AC72</f>
        <v/>
      </c>
      <c r="AI72" s="2">
        <f>SUM(AE72:AH72)</f>
        <v/>
      </c>
      <c r="AN72" s="2">
        <f>SUM(AJ72:AM72)</f>
        <v/>
      </c>
      <c r="AT72" s="2">
        <f>SUM(AO72:AS72)</f>
        <v/>
      </c>
      <c r="AU72" s="2">
        <f>AI72+AN72+AT72</f>
        <v/>
      </c>
      <c r="AV72" s="14" t="n">
        <v>35759.86</v>
      </c>
      <c r="AZ72" s="2">
        <f>SUM(AV72:AY72)</f>
        <v/>
      </c>
      <c r="BF72" s="2">
        <f>SUM(BA72:BE72)</f>
        <v/>
      </c>
      <c r="BK72" s="2">
        <f>SUM(BG72:BJ72)</f>
        <v/>
      </c>
      <c r="BL72" s="2">
        <f>AZ72+BF72+BK72</f>
        <v/>
      </c>
      <c r="BQ72" s="2">
        <f>SUM(BM72:BP72)</f>
        <v/>
      </c>
      <c r="BW72" s="2">
        <f>SUM(BR72:BV72)</f>
        <v/>
      </c>
      <c r="CB72" s="2">
        <f>SUM(BX72:CA72)</f>
        <v/>
      </c>
      <c r="CC72" s="2">
        <f>BQ72+BW72+CB72</f>
        <v/>
      </c>
      <c r="CD72" s="2">
        <f>AD72+AU72+BL72+CC72</f>
        <v/>
      </c>
    </row>
    <row r="73">
      <c r="A73" t="inlineStr">
        <is>
          <t>Approved</t>
        </is>
      </c>
      <c r="B73" t="inlineStr">
        <is>
          <t>3.2</t>
        </is>
      </c>
      <c r="C73" t="inlineStr">
        <is>
          <t>Register Plans with Master Plan Roads</t>
        </is>
      </c>
      <c r="D73" t="inlineStr">
        <is>
          <t>Surveyor</t>
        </is>
      </c>
      <c r="E73" t="inlineStr">
        <is>
          <t>Setena D1</t>
        </is>
      </c>
      <c r="F73" t="inlineStr">
        <is>
          <t>ENGINEERING</t>
        </is>
      </c>
      <c r="G73" s="2" t="n">
        <v>8000</v>
      </c>
      <c r="H73" s="2" t="n">
        <v>30702.5</v>
      </c>
      <c r="I73" s="2">
        <f>G73+H73</f>
        <v/>
      </c>
      <c r="J73" s="2">
        <f>SUMIF(LEDGER!$A:$A,$B73,LEDGER!$G:$G)</f>
        <v/>
      </c>
      <c r="K73" s="2">
        <f>I73-J73</f>
        <v/>
      </c>
      <c r="L73" s="2">
        <f>J73+CD73</f>
        <v/>
      </c>
      <c r="M73" s="2">
        <f>I73-L73</f>
        <v/>
      </c>
      <c r="R73" s="2">
        <f>SUM(N73:Q73)</f>
        <v/>
      </c>
      <c r="W73" s="2">
        <f>SUM(S73:V73)</f>
        <v/>
      </c>
      <c r="AC73" s="2">
        <f>SUM(X73:AB73)</f>
        <v/>
      </c>
      <c r="AD73" s="2">
        <f>R73+W73+AC73</f>
        <v/>
      </c>
      <c r="AI73" s="2">
        <f>SUM(AE73:AH73)</f>
        <v/>
      </c>
      <c r="AN73" s="2">
        <f>SUM(AJ73:AM73)</f>
        <v/>
      </c>
      <c r="AT73" s="2">
        <f>SUM(AO73:AS73)</f>
        <v/>
      </c>
      <c r="AU73" s="2">
        <f>AI73+AN73+AT73</f>
        <v/>
      </c>
      <c r="AZ73" s="2">
        <f>SUM(AV73:AY73)</f>
        <v/>
      </c>
      <c r="BF73" s="2">
        <f>SUM(BA73:BE73)</f>
        <v/>
      </c>
      <c r="BK73" s="2">
        <f>SUM(BG73:BJ73)</f>
        <v/>
      </c>
      <c r="BL73" s="2">
        <f>AZ73+BF73+BK73</f>
        <v/>
      </c>
      <c r="BQ73" s="2">
        <f>SUM(BM73:BP73)</f>
        <v/>
      </c>
      <c r="BW73" s="2">
        <f>SUM(BR73:BV73)</f>
        <v/>
      </c>
      <c r="CB73" s="2">
        <f>SUM(BX73:CA73)</f>
        <v/>
      </c>
      <c r="CC73" s="2">
        <f>BQ73+BW73+CB73</f>
        <v/>
      </c>
      <c r="CD73" s="2">
        <f>AD73+AU73+BL73+CC73</f>
        <v/>
      </c>
    </row>
    <row r="74">
      <c r="A74" t="inlineStr">
        <is>
          <t>In process</t>
        </is>
      </c>
      <c r="B74" t="inlineStr">
        <is>
          <t>3.3</t>
        </is>
      </c>
      <c r="C74" t="inlineStr">
        <is>
          <t>Hydrological study / Discharge Permit</t>
        </is>
      </c>
      <c r="D74" t="inlineStr">
        <is>
          <t>DEHC</t>
        </is>
      </c>
      <c r="E74" t="inlineStr">
        <is>
          <t>Setena D1</t>
        </is>
      </c>
      <c r="F74" t="inlineStr">
        <is>
          <t>STUDIES</t>
        </is>
      </c>
      <c r="G74" s="2" t="n">
        <v>8362</v>
      </c>
      <c r="H74" s="2" t="n">
        <v>0</v>
      </c>
      <c r="I74" s="2">
        <f>G74+H74</f>
        <v/>
      </c>
      <c r="J74" s="2">
        <f>SUMIF(LEDGER!$A:$A,$B74,LEDGER!$G:$G)</f>
        <v/>
      </c>
      <c r="K74" s="2">
        <f>I74-J74</f>
        <v/>
      </c>
      <c r="L74" s="2">
        <f>J74+CD74</f>
        <v/>
      </c>
      <c r="M74" s="2">
        <f>I74-L74</f>
        <v/>
      </c>
      <c r="R74" s="2">
        <f>SUM(N74:Q74)</f>
        <v/>
      </c>
      <c r="W74" s="2">
        <f>SUM(S74:V74)</f>
        <v/>
      </c>
      <c r="AC74" s="2">
        <f>SUM(X74:AB74)</f>
        <v/>
      </c>
      <c r="AD74" s="2">
        <f>R74+W74+AC74</f>
        <v/>
      </c>
      <c r="AI74" s="2">
        <f>SUM(AE74:AH74)</f>
        <v/>
      </c>
      <c r="AN74" s="2">
        <f>SUM(AJ74:AM74)</f>
        <v/>
      </c>
      <c r="AT74" s="2">
        <f>SUM(AO74:AS74)</f>
        <v/>
      </c>
      <c r="AU74" s="2">
        <f>AI74+AN74+AT74</f>
        <v/>
      </c>
      <c r="AZ74" s="2">
        <f>SUM(AV74:AY74)</f>
        <v/>
      </c>
      <c r="BF74" s="2">
        <f>SUM(BA74:BE74)</f>
        <v/>
      </c>
      <c r="BK74" s="2">
        <f>SUM(BG74:BJ74)</f>
        <v/>
      </c>
      <c r="BL74" s="2">
        <f>AZ74+BF74+BK74</f>
        <v/>
      </c>
      <c r="BQ74" s="2">
        <f>SUM(BM74:BP74)</f>
        <v/>
      </c>
      <c r="BW74" s="2">
        <f>SUM(BR74:BV74)</f>
        <v/>
      </c>
      <c r="BX74" s="14" t="n">
        <v>8362</v>
      </c>
      <c r="CB74" s="2">
        <f>SUM(BX74:CA74)</f>
        <v/>
      </c>
      <c r="CC74" s="2">
        <f>BQ74+BW74+CB74</f>
        <v/>
      </c>
      <c r="CD74" s="2">
        <f>AD74+AU74+BL74+CC74</f>
        <v/>
      </c>
    </row>
    <row r="75">
      <c r="A75" t="inlineStr">
        <is>
          <t>In process</t>
        </is>
      </c>
      <c r="B75" t="inlineStr">
        <is>
          <t>3.4</t>
        </is>
      </c>
      <c r="C75" t="inlineStr">
        <is>
          <t>Master plan analysis and condominium strategy</t>
        </is>
      </c>
      <c r="D75" t="inlineStr">
        <is>
          <t>DEHC</t>
        </is>
      </c>
      <c r="E75" t="inlineStr">
        <is>
          <t>Setena D1</t>
        </is>
      </c>
      <c r="F75" t="inlineStr">
        <is>
          <t>ENGINEERING</t>
        </is>
      </c>
      <c r="G75" s="2" t="n">
        <v>12995</v>
      </c>
      <c r="H75" s="2" t="n">
        <v>0</v>
      </c>
      <c r="I75" s="2">
        <f>G75+H75</f>
        <v/>
      </c>
      <c r="J75" s="2">
        <f>SUMIF(LEDGER!$A:$A,$B75,LEDGER!$G:$G)</f>
        <v/>
      </c>
      <c r="K75" s="2">
        <f>I75-J75</f>
        <v/>
      </c>
      <c r="L75" s="2">
        <f>J75+CD75</f>
        <v/>
      </c>
      <c r="M75" s="2">
        <f>I75-L75</f>
        <v/>
      </c>
      <c r="R75" s="2">
        <f>SUM(N75:Q75)</f>
        <v/>
      </c>
      <c r="W75" s="2">
        <f>SUM(S75:V75)</f>
        <v/>
      </c>
      <c r="AC75" s="2">
        <f>SUM(X75:AB75)</f>
        <v/>
      </c>
      <c r="AD75" s="2">
        <f>R75+W75+AC75</f>
        <v/>
      </c>
      <c r="AI75" s="2">
        <f>SUM(AE75:AH75)</f>
        <v/>
      </c>
      <c r="AJ75" s="14" t="n">
        <v>6497.5</v>
      </c>
      <c r="AN75" s="2">
        <f>SUM(AJ75:AM75)</f>
        <v/>
      </c>
      <c r="AO75" s="14" t="n">
        <v>6497.5</v>
      </c>
      <c r="AT75" s="2">
        <f>SUM(AO75:AS75)</f>
        <v/>
      </c>
      <c r="AU75" s="2">
        <f>AI75+AN75+AT75</f>
        <v/>
      </c>
      <c r="AZ75" s="2">
        <f>SUM(AV75:AY75)</f>
        <v/>
      </c>
      <c r="BF75" s="2">
        <f>SUM(BA75:BE75)</f>
        <v/>
      </c>
      <c r="BK75" s="2">
        <f>SUM(BG75:BJ75)</f>
        <v/>
      </c>
      <c r="BL75" s="2">
        <f>AZ75+BF75+BK75</f>
        <v/>
      </c>
      <c r="BQ75" s="2">
        <f>SUM(BM75:BP75)</f>
        <v/>
      </c>
      <c r="BW75" s="2">
        <f>SUM(BR75:BV75)</f>
        <v/>
      </c>
      <c r="CB75" s="2">
        <f>SUM(BX75:CA75)</f>
        <v/>
      </c>
      <c r="CC75" s="2">
        <f>BQ75+BW75+CB75</f>
        <v/>
      </c>
      <c r="CD75" s="2">
        <f>AD75+AU75+BL75+CC75</f>
        <v/>
      </c>
    </row>
    <row r="76">
      <c r="A76" t="inlineStr">
        <is>
          <t>Approved</t>
        </is>
      </c>
      <c r="B76" t="inlineStr">
        <is>
          <t>3.5</t>
        </is>
      </c>
      <c r="C76" t="inlineStr">
        <is>
          <t>Civil Engineering</t>
        </is>
      </c>
      <c r="E76" t="inlineStr">
        <is>
          <t>Setena D1</t>
        </is>
      </c>
      <c r="F76" t="inlineStr">
        <is>
          <t>ENGINEERING</t>
        </is>
      </c>
      <c r="G76" s="2" t="n">
        <v>0</v>
      </c>
      <c r="H76" s="2" t="n">
        <v>0</v>
      </c>
      <c r="I76" s="2">
        <f>G76+H76</f>
        <v/>
      </c>
      <c r="J76" s="2">
        <f>SUMIF(LEDGER!$A:$A,$B76,LEDGER!$G:$G)</f>
        <v/>
      </c>
      <c r="K76" s="2">
        <f>I76-J76</f>
        <v/>
      </c>
      <c r="L76" s="2">
        <f>J76+CD76</f>
        <v/>
      </c>
      <c r="M76" s="2">
        <f>I76-L76</f>
        <v/>
      </c>
      <c r="R76" s="2">
        <f>SUM(N76:Q76)</f>
        <v/>
      </c>
      <c r="W76" s="2">
        <f>SUM(S76:V76)</f>
        <v/>
      </c>
      <c r="AC76" s="2">
        <f>SUM(X76:AB76)</f>
        <v/>
      </c>
      <c r="AD76" s="2">
        <f>R76+W76+AC76</f>
        <v/>
      </c>
      <c r="AI76" s="2">
        <f>SUM(AE76:AH76)</f>
        <v/>
      </c>
      <c r="AN76" s="2">
        <f>SUM(AJ76:AM76)</f>
        <v/>
      </c>
      <c r="AT76" s="2">
        <f>SUM(AO76:AS76)</f>
        <v/>
      </c>
      <c r="AU76" s="2">
        <f>AI76+AN76+AT76</f>
        <v/>
      </c>
      <c r="AZ76" s="2">
        <f>SUM(AV76:AY76)</f>
        <v/>
      </c>
      <c r="BF76" s="2">
        <f>SUM(BA76:BE76)</f>
        <v/>
      </c>
      <c r="BK76" s="2">
        <f>SUM(BG76:BJ76)</f>
        <v/>
      </c>
      <c r="BL76" s="2">
        <f>AZ76+BF76+BK76</f>
        <v/>
      </c>
      <c r="BQ76" s="2">
        <f>SUM(BM76:BP76)</f>
        <v/>
      </c>
      <c r="BW76" s="2">
        <f>SUM(BR76:BV76)</f>
        <v/>
      </c>
      <c r="CB76" s="2">
        <f>SUM(BX76:CA76)</f>
        <v/>
      </c>
      <c r="CC76" s="2">
        <f>BQ76+BW76+CB76</f>
        <v/>
      </c>
      <c r="CD76" s="2">
        <f>AD76+AU76+BL76+CC76</f>
        <v/>
      </c>
    </row>
    <row r="77">
      <c r="A77" t="inlineStr">
        <is>
          <t>Approved</t>
        </is>
      </c>
      <c r="B77" t="inlineStr">
        <is>
          <t>3.5.1</t>
        </is>
      </c>
      <c r="C77" t="inlineStr">
        <is>
          <t>- Schematic design</t>
        </is>
      </c>
      <c r="D77" t="inlineStr">
        <is>
          <t>DEHC</t>
        </is>
      </c>
      <c r="E77" t="inlineStr">
        <is>
          <t>Setena D1</t>
        </is>
      </c>
      <c r="F77" t="inlineStr">
        <is>
          <t>ENGINEERING</t>
        </is>
      </c>
      <c r="G77" s="2" t="n">
        <v>117068</v>
      </c>
      <c r="H77" s="2" t="n">
        <v>0</v>
      </c>
      <c r="I77" s="2">
        <f>G77+H77</f>
        <v/>
      </c>
      <c r="J77" s="2">
        <f>SUMIF(LEDGER!$A:$A,$B77,LEDGER!$G:$G)</f>
        <v/>
      </c>
      <c r="K77" s="2">
        <f>I77-J77</f>
        <v/>
      </c>
      <c r="L77" s="2">
        <f>J77+CD77</f>
        <v/>
      </c>
      <c r="M77" s="2">
        <f>I77-L77</f>
        <v/>
      </c>
      <c r="R77" s="2">
        <f>SUM(N77:Q77)</f>
        <v/>
      </c>
      <c r="W77" s="2">
        <f>SUM(S77:V77)</f>
        <v/>
      </c>
      <c r="AC77" s="2">
        <f>SUM(X77:AB77)</f>
        <v/>
      </c>
      <c r="AD77" s="2">
        <f>R77+W77+AC77</f>
        <v/>
      </c>
      <c r="AI77" s="2">
        <f>SUM(AE77:AH77)</f>
        <v/>
      </c>
      <c r="AJ77" s="17" t="n">
        <v>20120</v>
      </c>
      <c r="AK77" s="17" t="n">
        <v>0.4</v>
      </c>
      <c r="AL77" s="17" t="n">
        <v>46827.2</v>
      </c>
      <c r="AN77" s="2">
        <f>SUM(AJ77:AM77)</f>
        <v/>
      </c>
      <c r="AT77" s="2">
        <f>SUM(AO77:AS77)</f>
        <v/>
      </c>
      <c r="AU77" s="2">
        <f>AI77+AN77+AT77</f>
        <v/>
      </c>
      <c r="AZ77" s="2">
        <f>SUM(AV77:AY77)</f>
        <v/>
      </c>
      <c r="BF77" s="2">
        <f>SUM(BA77:BE77)</f>
        <v/>
      </c>
      <c r="BK77" s="2">
        <f>SUM(BG77:BJ77)</f>
        <v/>
      </c>
      <c r="BL77" s="2">
        <f>AZ77+BF77+BK77</f>
        <v/>
      </c>
      <c r="BQ77" s="2">
        <f>SUM(BM77:BP77)</f>
        <v/>
      </c>
      <c r="BW77" s="2">
        <f>SUM(BR77:BV77)</f>
        <v/>
      </c>
      <c r="CB77" s="2">
        <f>SUM(BX77:CA77)</f>
        <v/>
      </c>
      <c r="CC77" s="2">
        <f>BQ77+BW77+CB77</f>
        <v/>
      </c>
      <c r="CD77" s="2">
        <f>AD77+AU77+BL77+CC77</f>
        <v/>
      </c>
    </row>
    <row r="78">
      <c r="A78" t="inlineStr">
        <is>
          <t>Approved</t>
        </is>
      </c>
      <c r="B78" t="inlineStr">
        <is>
          <t>3.52</t>
        </is>
      </c>
      <c r="C78" t="inlineStr">
        <is>
          <t>- Construction drawings &amp; quantities</t>
        </is>
      </c>
      <c r="D78" t="inlineStr">
        <is>
          <t>DEHC</t>
        </is>
      </c>
      <c r="E78" t="inlineStr">
        <is>
          <t>Setena D1</t>
        </is>
      </c>
      <c r="F78" t="inlineStr">
        <is>
          <t>ENGINEERING</t>
        </is>
      </c>
      <c r="G78" s="2" t="n">
        <v>0</v>
      </c>
      <c r="H78" s="2" t="n">
        <v>0</v>
      </c>
      <c r="I78" s="2">
        <f>G78+H78</f>
        <v/>
      </c>
      <c r="J78" s="2">
        <f>SUMIF(LEDGER!$A:$A,$B78,LEDGER!$G:$G)</f>
        <v/>
      </c>
      <c r="K78" s="2">
        <f>I78-J78</f>
        <v/>
      </c>
      <c r="L78" s="2">
        <f>J78+CD78</f>
        <v/>
      </c>
      <c r="M78" s="2">
        <f>I78-L78</f>
        <v/>
      </c>
      <c r="R78" s="2">
        <f>SUM(N78:Q78)</f>
        <v/>
      </c>
      <c r="W78" s="2">
        <f>SUM(S78:V78)</f>
        <v/>
      </c>
      <c r="AC78" s="2">
        <f>SUM(X78:AB78)</f>
        <v/>
      </c>
      <c r="AD78" s="2">
        <f>R78+W78+AC78</f>
        <v/>
      </c>
      <c r="AI78" s="2">
        <f>SUM(AE78:AH78)</f>
        <v/>
      </c>
      <c r="AN78" s="2">
        <f>SUM(AJ78:AM78)</f>
        <v/>
      </c>
      <c r="AT78" s="2">
        <f>SUM(AO78:AS78)</f>
        <v/>
      </c>
      <c r="AU78" s="2">
        <f>AI78+AN78+AT78</f>
        <v/>
      </c>
      <c r="AZ78" s="2">
        <f>SUM(AV78:AY78)</f>
        <v/>
      </c>
      <c r="BF78" s="2">
        <f>SUM(BA78:BE78)</f>
        <v/>
      </c>
      <c r="BK78" s="2">
        <f>SUM(BG78:BJ78)</f>
        <v/>
      </c>
      <c r="BL78" s="2">
        <f>AZ78+BF78+BK78</f>
        <v/>
      </c>
      <c r="BQ78" s="2">
        <f>SUM(BM78:BP78)</f>
        <v/>
      </c>
      <c r="BW78" s="2">
        <f>SUM(BR78:BV78)</f>
        <v/>
      </c>
      <c r="CB78" s="2">
        <f>SUM(BX78:CA78)</f>
        <v/>
      </c>
      <c r="CC78" s="2">
        <f>BQ78+BW78+CB78</f>
        <v/>
      </c>
      <c r="CD78" s="2">
        <f>AD78+AU78+BL78+CC78</f>
        <v/>
      </c>
    </row>
    <row r="79">
      <c r="A79" t="inlineStr">
        <is>
          <t>Approved</t>
        </is>
      </c>
      <c r="B79" t="inlineStr">
        <is>
          <t>3.6</t>
        </is>
      </c>
      <c r="C79" t="inlineStr">
        <is>
          <t>SETENA review</t>
        </is>
      </c>
      <c r="D79" t="inlineStr">
        <is>
          <t>Government</t>
        </is>
      </c>
      <c r="E79" t="inlineStr">
        <is>
          <t>Setena D1</t>
        </is>
      </c>
      <c r="F79" t="inlineStr">
        <is>
          <t>ENGINEERING</t>
        </is>
      </c>
      <c r="G79" s="2" t="n">
        <v>0</v>
      </c>
      <c r="H79" s="2" t="n">
        <v>0</v>
      </c>
      <c r="I79" s="2">
        <f>G79+H79</f>
        <v/>
      </c>
      <c r="J79" s="2">
        <f>SUMIF(LEDGER!$A:$A,$B79,LEDGER!$G:$G)</f>
        <v/>
      </c>
      <c r="K79" s="2">
        <f>I79-J79</f>
        <v/>
      </c>
      <c r="L79" s="2">
        <f>J79+CD79</f>
        <v/>
      </c>
      <c r="M79" s="2">
        <f>I79-L79</f>
        <v/>
      </c>
      <c r="R79" s="2">
        <f>SUM(N79:Q79)</f>
        <v/>
      </c>
      <c r="W79" s="2">
        <f>SUM(S79:V79)</f>
        <v/>
      </c>
      <c r="AC79" s="2">
        <f>SUM(X79:AB79)</f>
        <v/>
      </c>
      <c r="AD79" s="2">
        <f>R79+W79+AC79</f>
        <v/>
      </c>
      <c r="AI79" s="2">
        <f>SUM(AE79:AH79)</f>
        <v/>
      </c>
      <c r="AN79" s="2">
        <f>SUM(AJ79:AM79)</f>
        <v/>
      </c>
      <c r="AT79" s="2">
        <f>SUM(AO79:AS79)</f>
        <v/>
      </c>
      <c r="AU79" s="2">
        <f>AI79+AN79+AT79</f>
        <v/>
      </c>
      <c r="AZ79" s="2">
        <f>SUM(AV79:AY79)</f>
        <v/>
      </c>
      <c r="BF79" s="2">
        <f>SUM(BA79:BE79)</f>
        <v/>
      </c>
      <c r="BK79" s="2">
        <f>SUM(BG79:BJ79)</f>
        <v/>
      </c>
      <c r="BL79" s="2">
        <f>AZ79+BF79+BK79</f>
        <v/>
      </c>
      <c r="BQ79" s="2">
        <f>SUM(BM79:BP79)</f>
        <v/>
      </c>
      <c r="BW79" s="2">
        <f>SUM(BR79:BV79)</f>
        <v/>
      </c>
      <c r="CB79" s="2">
        <f>SUM(BX79:CA79)</f>
        <v/>
      </c>
      <c r="CC79" s="2">
        <f>BQ79+BW79+CB79</f>
        <v/>
      </c>
      <c r="CD79" s="2">
        <f>AD79+AU79+BL79+CC79</f>
        <v/>
      </c>
    </row>
    <row r="80">
      <c r="A80" t="inlineStr">
        <is>
          <t>Approved</t>
        </is>
      </c>
      <c r="B80" t="inlineStr">
        <is>
          <t>3.7</t>
        </is>
      </c>
      <c r="C80" t="inlineStr">
        <is>
          <t>Annexed information / Answer Questions</t>
        </is>
      </c>
      <c r="D80" t="inlineStr">
        <is>
          <t>DEHC / Blake</t>
        </is>
      </c>
      <c r="E80" t="inlineStr">
        <is>
          <t>Setena D1</t>
        </is>
      </c>
      <c r="F80" t="inlineStr">
        <is>
          <t>ENGINEERING</t>
        </is>
      </c>
      <c r="G80" s="2" t="n">
        <v>0</v>
      </c>
      <c r="H80" s="2" t="n">
        <v>0</v>
      </c>
      <c r="I80" s="2">
        <f>G80+H80</f>
        <v/>
      </c>
      <c r="J80" s="2">
        <f>SUMIF(LEDGER!$A:$A,$B80,LEDGER!$G:$G)</f>
        <v/>
      </c>
      <c r="K80" s="2">
        <f>I80-J80</f>
        <v/>
      </c>
      <c r="L80" s="2">
        <f>J80+CD80</f>
        <v/>
      </c>
      <c r="M80" s="2">
        <f>I80-L80</f>
        <v/>
      </c>
      <c r="R80" s="2">
        <f>SUM(N80:Q80)</f>
        <v/>
      </c>
      <c r="W80" s="2">
        <f>SUM(S80:V80)</f>
        <v/>
      </c>
      <c r="AC80" s="2">
        <f>SUM(X80:AB80)</f>
        <v/>
      </c>
      <c r="AD80" s="2">
        <f>R80+W80+AC80</f>
        <v/>
      </c>
      <c r="AI80" s="2">
        <f>SUM(AE80:AH80)</f>
        <v/>
      </c>
      <c r="AN80" s="2">
        <f>SUM(AJ80:AM80)</f>
        <v/>
      </c>
      <c r="AT80" s="2">
        <f>SUM(AO80:AS80)</f>
        <v/>
      </c>
      <c r="AU80" s="2">
        <f>AI80+AN80+AT80</f>
        <v/>
      </c>
      <c r="AZ80" s="2">
        <f>SUM(AV80:AY80)</f>
        <v/>
      </c>
      <c r="BF80" s="2">
        <f>SUM(BA80:BE80)</f>
        <v/>
      </c>
      <c r="BK80" s="2">
        <f>SUM(BG80:BJ80)</f>
        <v/>
      </c>
      <c r="BL80" s="2">
        <f>AZ80+BF80+BK80</f>
        <v/>
      </c>
      <c r="BQ80" s="2">
        <f>SUM(BM80:BP80)</f>
        <v/>
      </c>
      <c r="BW80" s="2">
        <f>SUM(BR80:BV80)</f>
        <v/>
      </c>
      <c r="CB80" s="2">
        <f>SUM(BX80:CA80)</f>
        <v/>
      </c>
      <c r="CC80" s="2">
        <f>BQ80+BW80+CB80</f>
        <v/>
      </c>
      <c r="CD80" s="2">
        <f>AD80+AU80+BL80+CC80</f>
        <v/>
      </c>
    </row>
    <row r="81">
      <c r="A81" t="inlineStr">
        <is>
          <t>Approved</t>
        </is>
      </c>
      <c r="B81" t="inlineStr">
        <is>
          <t>3.8</t>
        </is>
      </c>
      <c r="C81" t="inlineStr">
        <is>
          <t>SETENA Final review</t>
        </is>
      </c>
      <c r="D81" t="inlineStr">
        <is>
          <t>Blake</t>
        </is>
      </c>
      <c r="E81" t="inlineStr">
        <is>
          <t>Setena D1</t>
        </is>
      </c>
      <c r="F81" t="inlineStr">
        <is>
          <t>GOV</t>
        </is>
      </c>
      <c r="G81" s="2" t="n">
        <v>0</v>
      </c>
      <c r="H81" s="2" t="n">
        <v>0</v>
      </c>
      <c r="I81" s="2">
        <f>G81+H81</f>
        <v/>
      </c>
      <c r="J81" s="2">
        <f>SUMIF(LEDGER!$A:$A,$B81,LEDGER!$G:$G)</f>
        <v/>
      </c>
      <c r="K81" s="2">
        <f>I81-J81</f>
        <v/>
      </c>
      <c r="L81" s="2">
        <f>J81+CD81</f>
        <v/>
      </c>
      <c r="M81" s="2">
        <f>I81-L81</f>
        <v/>
      </c>
      <c r="R81" s="2">
        <f>SUM(N81:Q81)</f>
        <v/>
      </c>
      <c r="W81" s="2">
        <f>SUM(S81:V81)</f>
        <v/>
      </c>
      <c r="AC81" s="2">
        <f>SUM(X81:AB81)</f>
        <v/>
      </c>
      <c r="AD81" s="2">
        <f>R81+W81+AC81</f>
        <v/>
      </c>
      <c r="AI81" s="2">
        <f>SUM(AE81:AH81)</f>
        <v/>
      </c>
      <c r="AN81" s="2">
        <f>SUM(AJ81:AM81)</f>
        <v/>
      </c>
      <c r="AT81" s="2">
        <f>SUM(AO81:AS81)</f>
        <v/>
      </c>
      <c r="AU81" s="2">
        <f>AI81+AN81+AT81</f>
        <v/>
      </c>
      <c r="AZ81" s="2">
        <f>SUM(AV81:AY81)</f>
        <v/>
      </c>
      <c r="BF81" s="2">
        <f>SUM(BA81:BE81)</f>
        <v/>
      </c>
      <c r="BK81" s="2">
        <f>SUM(BG81:BJ81)</f>
        <v/>
      </c>
      <c r="BL81" s="2">
        <f>AZ81+BF81+BK81</f>
        <v/>
      </c>
      <c r="BQ81" s="2">
        <f>SUM(BM81:BP81)</f>
        <v/>
      </c>
      <c r="BW81" s="2">
        <f>SUM(BR81:BV81)</f>
        <v/>
      </c>
      <c r="CB81" s="2">
        <f>SUM(BX81:CA81)</f>
        <v/>
      </c>
      <c r="CC81" s="2">
        <f>BQ81+BW81+CB81</f>
        <v/>
      </c>
      <c r="CD81" s="2">
        <f>AD81+AU81+BL81+CC81</f>
        <v/>
      </c>
    </row>
    <row r="82">
      <c r="A82" t="inlineStr">
        <is>
          <t>Approved</t>
        </is>
      </c>
      <c r="B82" t="inlineStr">
        <is>
          <t>3.9</t>
        </is>
      </c>
      <c r="C82" t="inlineStr">
        <is>
          <t>SETENA (VA) Approval</t>
        </is>
      </c>
      <c r="D82" t="inlineStr">
        <is>
          <t>DEHC / Blake</t>
        </is>
      </c>
      <c r="E82" t="inlineStr">
        <is>
          <t>Setena D1</t>
        </is>
      </c>
      <c r="F82" t="inlineStr">
        <is>
          <t>ENGINEERING</t>
        </is>
      </c>
      <c r="G82" s="2" t="n">
        <v>1457.7</v>
      </c>
      <c r="H82" s="2" t="n">
        <v>0</v>
      </c>
      <c r="I82" s="2">
        <f>G82+H82</f>
        <v/>
      </c>
      <c r="J82" s="2">
        <f>SUMIF(LEDGER!$A:$A,$B82,LEDGER!$G:$G)</f>
        <v/>
      </c>
      <c r="K82" s="2">
        <f>I82-J82</f>
        <v/>
      </c>
      <c r="L82" s="2">
        <f>J82+CD82</f>
        <v/>
      </c>
      <c r="M82" s="2">
        <f>I82-L82</f>
        <v/>
      </c>
      <c r="R82" s="2">
        <f>SUM(N82:Q82)</f>
        <v/>
      </c>
      <c r="W82" s="2">
        <f>SUM(S82:V82)</f>
        <v/>
      </c>
      <c r="AC82" s="2">
        <f>SUM(X82:AB82)</f>
        <v/>
      </c>
      <c r="AD82" s="2">
        <f>R82+W82+AC82</f>
        <v/>
      </c>
      <c r="AI82" s="2">
        <f>SUM(AE82:AH82)</f>
        <v/>
      </c>
      <c r="AN82" s="2">
        <f>SUM(AJ82:AM82)</f>
        <v/>
      </c>
      <c r="AT82" s="2">
        <f>SUM(AO82:AS82)</f>
        <v/>
      </c>
      <c r="AU82" s="2">
        <f>AI82+AN82+AT82</f>
        <v/>
      </c>
      <c r="AZ82" s="2">
        <f>SUM(AV82:AY82)</f>
        <v/>
      </c>
      <c r="BF82" s="2">
        <f>SUM(BA82:BE82)</f>
        <v/>
      </c>
      <c r="BK82" s="2">
        <f>SUM(BG82:BJ82)</f>
        <v/>
      </c>
      <c r="BL82" s="2">
        <f>AZ82+BF82+BK82</f>
        <v/>
      </c>
      <c r="BQ82" s="2">
        <f>SUM(BM82:BP82)</f>
        <v/>
      </c>
      <c r="BS82" s="17" t="n">
        <v>1457.7</v>
      </c>
      <c r="BW82" s="2">
        <f>SUM(BR82:BV82)</f>
        <v/>
      </c>
      <c r="CB82" s="2">
        <f>SUM(BX82:CA82)</f>
        <v/>
      </c>
      <c r="CC82" s="2">
        <f>BQ82+BW82+CB82</f>
        <v/>
      </c>
      <c r="CD82" s="2">
        <f>AD82+AU82+BL82+CC82</f>
        <v/>
      </c>
    </row>
    <row r="83">
      <c r="A83" t="inlineStr">
        <is>
          <t>Approved</t>
        </is>
      </c>
      <c r="B83" t="inlineStr">
        <is>
          <t>3.101</t>
        </is>
      </c>
      <c r="C83" t="inlineStr">
        <is>
          <t>Treatment Plant</t>
        </is>
      </c>
      <c r="D83" t="inlineStr">
        <is>
          <t>Treatment Plant Eng.</t>
        </is>
      </c>
      <c r="E83" t="inlineStr">
        <is>
          <t>Setena D1</t>
        </is>
      </c>
      <c r="F83" t="inlineStr">
        <is>
          <t>GOV</t>
        </is>
      </c>
      <c r="G83" s="2" t="n">
        <v>50000</v>
      </c>
      <c r="H83" s="2" t="n">
        <v>0</v>
      </c>
      <c r="I83" s="2">
        <f>G83+H83</f>
        <v/>
      </c>
      <c r="J83" s="2">
        <f>SUMIF(LEDGER!$A:$A,$B83,LEDGER!$G:$G)</f>
        <v/>
      </c>
      <c r="K83" s="2">
        <f>I83-J83</f>
        <v/>
      </c>
      <c r="L83" s="2">
        <f>J83+CD83</f>
        <v/>
      </c>
      <c r="M83" s="2">
        <f>I83-L83</f>
        <v/>
      </c>
      <c r="R83" s="2">
        <f>SUM(N83:Q83)</f>
        <v/>
      </c>
      <c r="W83" s="2">
        <f>SUM(S83:V83)</f>
        <v/>
      </c>
      <c r="AC83" s="2">
        <f>SUM(X83:AB83)</f>
        <v/>
      </c>
      <c r="AD83" s="2">
        <f>R83+W83+AC83</f>
        <v/>
      </c>
      <c r="AI83" s="2">
        <f>SUM(AE83:AH83)</f>
        <v/>
      </c>
      <c r="AN83" s="2">
        <f>SUM(AJ83:AM83)</f>
        <v/>
      </c>
      <c r="AT83" s="2">
        <f>SUM(AO83:AS83)</f>
        <v/>
      </c>
      <c r="AU83" s="2">
        <f>AI83+AN83+AT83</f>
        <v/>
      </c>
      <c r="AZ83" s="2">
        <f>SUM(AV83:AY83)</f>
        <v/>
      </c>
      <c r="BF83" s="2">
        <f>SUM(BA83:BE83)</f>
        <v/>
      </c>
      <c r="BK83" s="2">
        <f>SUM(BG83:BJ83)</f>
        <v/>
      </c>
      <c r="BL83" s="2">
        <f>AZ83+BF83+BK83</f>
        <v/>
      </c>
      <c r="BQ83" s="2">
        <f>SUM(BM83:BP83)</f>
        <v/>
      </c>
      <c r="BV83" s="17" t="n">
        <v>25000</v>
      </c>
      <c r="BW83" s="2">
        <f>SUM(BR83:BV83)</f>
        <v/>
      </c>
      <c r="BX83" s="17" t="n">
        <v>25000</v>
      </c>
      <c r="CB83" s="2">
        <f>SUM(BX83:CA83)</f>
        <v/>
      </c>
      <c r="CC83" s="2">
        <f>BQ83+BW83+CB83</f>
        <v/>
      </c>
      <c r="CD83" s="2">
        <f>AD83+AU83+BL83+CC83</f>
        <v/>
      </c>
    </row>
    <row r="84">
      <c r="A84" t="inlineStr">
        <is>
          <t>Approved</t>
        </is>
      </c>
      <c r="B84" t="inlineStr">
        <is>
          <t>3.11</t>
        </is>
      </c>
      <c r="C84" t="inlineStr">
        <is>
          <t>Superficial infiltration test</t>
        </is>
      </c>
      <c r="D84" t="inlineStr">
        <is>
          <t>Complete</t>
        </is>
      </c>
      <c r="E84" t="inlineStr">
        <is>
          <t>Setena D1</t>
        </is>
      </c>
      <c r="F84" t="inlineStr">
        <is>
          <t>GOV</t>
        </is>
      </c>
      <c r="G84" s="2" t="n">
        <v>0</v>
      </c>
      <c r="H84" s="2" t="n">
        <v>0</v>
      </c>
      <c r="I84" s="2">
        <f>G84+H84</f>
        <v/>
      </c>
      <c r="J84" s="2">
        <f>SUMIF(LEDGER!$A:$A,$B84,LEDGER!$G:$G)</f>
        <v/>
      </c>
      <c r="K84" s="2">
        <f>I84-J84</f>
        <v/>
      </c>
      <c r="L84" s="2">
        <f>J84+CD84</f>
        <v/>
      </c>
      <c r="M84" s="2">
        <f>I84-L84</f>
        <v/>
      </c>
      <c r="R84" s="2">
        <f>SUM(N84:Q84)</f>
        <v/>
      </c>
      <c r="W84" s="2">
        <f>SUM(S84:V84)</f>
        <v/>
      </c>
      <c r="AC84" s="2">
        <f>SUM(X84:AB84)</f>
        <v/>
      </c>
      <c r="AD84" s="2">
        <f>R84+W84+AC84</f>
        <v/>
      </c>
      <c r="AI84" s="2">
        <f>SUM(AE84:AH84)</f>
        <v/>
      </c>
      <c r="AN84" s="2">
        <f>SUM(AJ84:AM84)</f>
        <v/>
      </c>
      <c r="AT84" s="2">
        <f>SUM(AO84:AS84)</f>
        <v/>
      </c>
      <c r="AU84" s="2">
        <f>AI84+AN84+AT84</f>
        <v/>
      </c>
      <c r="AZ84" s="2">
        <f>SUM(AV84:AY84)</f>
        <v/>
      </c>
      <c r="BF84" s="2">
        <f>SUM(BA84:BE84)</f>
        <v/>
      </c>
      <c r="BK84" s="2">
        <f>SUM(BG84:BJ84)</f>
        <v/>
      </c>
      <c r="BL84" s="2">
        <f>AZ84+BF84+BK84</f>
        <v/>
      </c>
      <c r="BQ84" s="2">
        <f>SUM(BM84:BP84)</f>
        <v/>
      </c>
      <c r="BW84" s="2">
        <f>SUM(BR84:BV84)</f>
        <v/>
      </c>
      <c r="CB84" s="2">
        <f>SUM(BX84:CA84)</f>
        <v/>
      </c>
      <c r="CC84" s="2">
        <f>BQ84+BW84+CB84</f>
        <v/>
      </c>
      <c r="CD84" s="2">
        <f>AD84+AU84+BL84+CC84</f>
        <v/>
      </c>
    </row>
    <row r="85">
      <c r="A85" t="inlineStr">
        <is>
          <t>Approved</t>
        </is>
      </c>
      <c r="B85" t="inlineStr">
        <is>
          <t>4.1</t>
        </is>
      </c>
      <c r="C85" t="inlineStr">
        <is>
          <t>Water Source Strategy</t>
        </is>
      </c>
      <c r="D85" t="inlineStr">
        <is>
          <t>Blake</t>
        </is>
      </c>
      <c r="E85" t="inlineStr">
        <is>
          <t>Setena D1</t>
        </is>
      </c>
      <c r="F85" t="inlineStr">
        <is>
          <t>WATER</t>
        </is>
      </c>
      <c r="G85" s="2" t="n">
        <v>0</v>
      </c>
      <c r="H85" s="2" t="n">
        <v>0</v>
      </c>
      <c r="I85" s="2">
        <f>G85+H85</f>
        <v/>
      </c>
      <c r="J85" s="2">
        <f>SUMIF(LEDGER!$A:$A,$B85,LEDGER!$G:$G)</f>
        <v/>
      </c>
      <c r="K85" s="2">
        <f>I85-J85</f>
        <v/>
      </c>
      <c r="L85" s="2">
        <f>J85+CD85</f>
        <v/>
      </c>
      <c r="M85" s="2">
        <f>I85-L85</f>
        <v/>
      </c>
      <c r="R85" s="2">
        <f>SUM(N85:Q85)</f>
        <v/>
      </c>
      <c r="W85" s="2">
        <f>SUM(S85:V85)</f>
        <v/>
      </c>
      <c r="AC85" s="2">
        <f>SUM(X85:AB85)</f>
        <v/>
      </c>
      <c r="AD85" s="2">
        <f>R85+W85+AC85</f>
        <v/>
      </c>
      <c r="AI85" s="2">
        <f>SUM(AE85:AH85)</f>
        <v/>
      </c>
      <c r="AN85" s="2">
        <f>SUM(AJ85:AM85)</f>
        <v/>
      </c>
      <c r="AT85" s="2">
        <f>SUM(AO85:AS85)</f>
        <v/>
      </c>
      <c r="AU85" s="2">
        <f>AI85+AN85+AT85</f>
        <v/>
      </c>
      <c r="AZ85" s="2">
        <f>SUM(AV85:AY85)</f>
        <v/>
      </c>
      <c r="BF85" s="2">
        <f>SUM(BA85:BE85)</f>
        <v/>
      </c>
      <c r="BK85" s="2">
        <f>SUM(BG85:BJ85)</f>
        <v/>
      </c>
      <c r="BL85" s="2">
        <f>AZ85+BF85+BK85</f>
        <v/>
      </c>
      <c r="BQ85" s="2">
        <f>SUM(BM85:BP85)</f>
        <v/>
      </c>
      <c r="BW85" s="2">
        <f>SUM(BR85:BV85)</f>
        <v/>
      </c>
      <c r="CB85" s="2">
        <f>SUM(BX85:CA85)</f>
        <v/>
      </c>
      <c r="CC85" s="2">
        <f>BQ85+BW85+CB85</f>
        <v/>
      </c>
      <c r="CD85" s="2">
        <f>AD85+AU85+BL85+CC85</f>
        <v/>
      </c>
    </row>
    <row r="86">
      <c r="A86" t="inlineStr">
        <is>
          <t>Approved</t>
        </is>
      </c>
      <c r="B86" t="inlineStr">
        <is>
          <t>4.2.1</t>
        </is>
      </c>
      <c r="C86" t="inlineStr">
        <is>
          <t>Water Department Negotiations</t>
        </is>
      </c>
      <c r="D86" t="inlineStr">
        <is>
          <t>Blake</t>
        </is>
      </c>
      <c r="E86" t="inlineStr">
        <is>
          <t>Setena D1</t>
        </is>
      </c>
      <c r="F86" t="inlineStr">
        <is>
          <t>WATER</t>
        </is>
      </c>
      <c r="G86" s="2" t="n">
        <v>0</v>
      </c>
      <c r="H86" s="2" t="n">
        <v>0</v>
      </c>
      <c r="I86" s="2">
        <f>G86+H86</f>
        <v/>
      </c>
      <c r="J86" s="2">
        <f>SUMIF(LEDGER!$A:$A,$B86,LEDGER!$G:$G)</f>
        <v/>
      </c>
      <c r="K86" s="2">
        <f>I86-J86</f>
        <v/>
      </c>
      <c r="L86" s="2">
        <f>J86+CD86</f>
        <v/>
      </c>
      <c r="M86" s="2">
        <f>I86-L86</f>
        <v/>
      </c>
      <c r="R86" s="2">
        <f>SUM(N86:Q86)</f>
        <v/>
      </c>
      <c r="W86" s="2">
        <f>SUM(S86:V86)</f>
        <v/>
      </c>
      <c r="AC86" s="2">
        <f>SUM(X86:AB86)</f>
        <v/>
      </c>
      <c r="AD86" s="2">
        <f>R86+W86+AC86</f>
        <v/>
      </c>
      <c r="AI86" s="2">
        <f>SUM(AE86:AH86)</f>
        <v/>
      </c>
      <c r="AN86" s="2">
        <f>SUM(AJ86:AM86)</f>
        <v/>
      </c>
      <c r="AT86" s="2">
        <f>SUM(AO86:AS86)</f>
        <v/>
      </c>
      <c r="AU86" s="2">
        <f>AI86+AN86+AT86</f>
        <v/>
      </c>
      <c r="AZ86" s="2">
        <f>SUM(AV86:AY86)</f>
        <v/>
      </c>
      <c r="BF86" s="2">
        <f>SUM(BA86:BE86)</f>
        <v/>
      </c>
      <c r="BK86" s="2">
        <f>SUM(BG86:BJ86)</f>
        <v/>
      </c>
      <c r="BL86" s="2">
        <f>AZ86+BF86+BK86</f>
        <v/>
      </c>
      <c r="BQ86" s="2">
        <f>SUM(BM86:BP86)</f>
        <v/>
      </c>
      <c r="BW86" s="2">
        <f>SUM(BR86:BV86)</f>
        <v/>
      </c>
      <c r="CB86" s="2">
        <f>SUM(BX86:CA86)</f>
        <v/>
      </c>
      <c r="CC86" s="2">
        <f>BQ86+BW86+CB86</f>
        <v/>
      </c>
      <c r="CD86" s="2">
        <f>AD86+AU86+BL86+CC86</f>
        <v/>
      </c>
    </row>
    <row r="87">
      <c r="A87" t="inlineStr">
        <is>
          <t>Approved</t>
        </is>
      </c>
      <c r="B87" t="inlineStr">
        <is>
          <t>4.2.2</t>
        </is>
      </c>
      <c r="C87" t="inlineStr">
        <is>
          <t>Water Department Installation (We pay and Donate)</t>
        </is>
      </c>
      <c r="D87" t="inlineStr">
        <is>
          <t>Sierra</t>
        </is>
      </c>
      <c r="E87" t="inlineStr">
        <is>
          <t>Setena D1</t>
        </is>
      </c>
      <c r="F87" t="inlineStr">
        <is>
          <t>WATER</t>
        </is>
      </c>
      <c r="G87" s="2" t="n">
        <v>50000</v>
      </c>
      <c r="H87" s="2" t="n">
        <v>0</v>
      </c>
      <c r="I87" s="2">
        <f>G87+H87</f>
        <v/>
      </c>
      <c r="J87" s="2">
        <f>SUMIF(LEDGER!$A:$A,$B87,LEDGER!$G:$G)</f>
        <v/>
      </c>
      <c r="K87" s="2">
        <f>I87-J87</f>
        <v/>
      </c>
      <c r="L87" s="2">
        <f>J87+CD87</f>
        <v/>
      </c>
      <c r="M87" s="2">
        <f>I87-L87</f>
        <v/>
      </c>
      <c r="R87" s="2">
        <f>SUM(N87:Q87)</f>
        <v/>
      </c>
      <c r="W87" s="2">
        <f>SUM(S87:V87)</f>
        <v/>
      </c>
      <c r="AC87" s="2">
        <f>SUM(X87:AB87)</f>
        <v/>
      </c>
      <c r="AD87" s="2">
        <f>R87+W87+AC87</f>
        <v/>
      </c>
      <c r="AI87" s="2">
        <f>SUM(AE87:AH87)</f>
        <v/>
      </c>
      <c r="AM87" s="17" t="n">
        <v>25000</v>
      </c>
      <c r="AN87" s="2">
        <f>SUM(AJ87:AM87)</f>
        <v/>
      </c>
      <c r="AR87" s="17" t="n">
        <v>25000</v>
      </c>
      <c r="AT87" s="2">
        <f>SUM(AO87:AS87)</f>
        <v/>
      </c>
      <c r="AU87" s="2">
        <f>AI87+AN87+AT87</f>
        <v/>
      </c>
      <c r="AZ87" s="2">
        <f>SUM(AV87:AY87)</f>
        <v/>
      </c>
      <c r="BF87" s="2">
        <f>SUM(BA87:BE87)</f>
        <v/>
      </c>
      <c r="BK87" s="2">
        <f>SUM(BG87:BJ87)</f>
        <v/>
      </c>
      <c r="BL87" s="2">
        <f>AZ87+BF87+BK87</f>
        <v/>
      </c>
      <c r="BQ87" s="2">
        <f>SUM(BM87:BP87)</f>
        <v/>
      </c>
      <c r="BW87" s="2">
        <f>SUM(BR87:BV87)</f>
        <v/>
      </c>
      <c r="CB87" s="2">
        <f>SUM(BX87:CA87)</f>
        <v/>
      </c>
      <c r="CC87" s="2">
        <f>BQ87+BW87+CB87</f>
        <v/>
      </c>
      <c r="CD87" s="2">
        <f>AD87+AU87+BL87+CC87</f>
        <v/>
      </c>
    </row>
    <row r="88">
      <c r="A88" t="inlineStr">
        <is>
          <t>Approved</t>
        </is>
      </c>
      <c r="B88" t="inlineStr">
        <is>
          <t>4.2.3</t>
        </is>
      </c>
      <c r="C88" t="inlineStr">
        <is>
          <t>Water Department System Installation</t>
        </is>
      </c>
      <c r="D88" t="inlineStr">
        <is>
          <t>Aguatech</t>
        </is>
      </c>
      <c r="E88" t="inlineStr">
        <is>
          <t>Setena D1</t>
        </is>
      </c>
      <c r="F88" t="inlineStr">
        <is>
          <t>WATER</t>
        </is>
      </c>
      <c r="G88" s="2" t="n">
        <v>150000</v>
      </c>
      <c r="H88" s="2" t="n">
        <v>0</v>
      </c>
      <c r="I88" s="2">
        <f>G88+H88</f>
        <v/>
      </c>
      <c r="J88" s="2">
        <f>SUMIF(LEDGER!$A:$A,$B88,LEDGER!$G:$G)</f>
        <v/>
      </c>
      <c r="K88" s="2">
        <f>I88-J88</f>
        <v/>
      </c>
      <c r="L88" s="2">
        <f>J88+CD88</f>
        <v/>
      </c>
      <c r="M88" s="2">
        <f>I88-L88</f>
        <v/>
      </c>
      <c r="R88" s="2">
        <f>SUM(N88:Q88)</f>
        <v/>
      </c>
      <c r="W88" s="2">
        <f>SUM(S88:V88)</f>
        <v/>
      </c>
      <c r="AC88" s="2">
        <f>SUM(X88:AB88)</f>
        <v/>
      </c>
      <c r="AD88" s="2">
        <f>R88+W88+AC88</f>
        <v/>
      </c>
      <c r="AI88" s="2">
        <f>SUM(AE88:AH88)</f>
        <v/>
      </c>
      <c r="AN88" s="2">
        <f>SUM(AJ88:AM88)</f>
        <v/>
      </c>
      <c r="AT88" s="2">
        <f>SUM(AO88:AS88)</f>
        <v/>
      </c>
      <c r="AU88" s="2">
        <f>AI88+AN88+AT88</f>
        <v/>
      </c>
      <c r="AZ88" s="2">
        <f>SUM(AV88:AY88)</f>
        <v/>
      </c>
      <c r="BF88" s="2">
        <f>SUM(BA88:BE88)</f>
        <v/>
      </c>
      <c r="BK88" s="2">
        <f>SUM(BG88:BJ88)</f>
        <v/>
      </c>
      <c r="BL88" s="2">
        <f>AZ88+BF88+BK88</f>
        <v/>
      </c>
      <c r="BQ88" s="2">
        <f>SUM(BM88:BP88)</f>
        <v/>
      </c>
      <c r="BW88" s="2">
        <f>SUM(BR88:BV88)</f>
        <v/>
      </c>
      <c r="CB88" s="2">
        <f>SUM(BX88:CA88)</f>
        <v/>
      </c>
      <c r="CC88" s="2">
        <f>BQ88+BW88+CB88</f>
        <v/>
      </c>
      <c r="CD88" s="2">
        <f>AD88+AU88+BL88+CC88</f>
        <v/>
      </c>
    </row>
    <row r="89">
      <c r="A89" t="inlineStr">
        <is>
          <t>Approved</t>
        </is>
      </c>
      <c r="B89" t="inlineStr">
        <is>
          <t>4.3</t>
        </is>
      </c>
      <c r="C89" t="inlineStr">
        <is>
          <t>Spring Concession (Based on Strategy)</t>
        </is>
      </c>
      <c r="D89" t="inlineStr">
        <is>
          <t>Blake</t>
        </is>
      </c>
      <c r="E89" t="inlineStr">
        <is>
          <t>Setena D1</t>
        </is>
      </c>
      <c r="F89" t="inlineStr">
        <is>
          <t>WATER</t>
        </is>
      </c>
      <c r="G89" s="2" t="n">
        <v>0</v>
      </c>
      <c r="H89" s="2" t="n">
        <v>0</v>
      </c>
      <c r="I89" s="2">
        <f>G89+H89</f>
        <v/>
      </c>
      <c r="J89" s="2">
        <f>SUMIF(LEDGER!$A:$A,$B89,LEDGER!$G:$G)</f>
        <v/>
      </c>
      <c r="K89" s="2">
        <f>I89-J89</f>
        <v/>
      </c>
      <c r="L89" s="2">
        <f>J89+CD89</f>
        <v/>
      </c>
      <c r="M89" s="2">
        <f>I89-L89</f>
        <v/>
      </c>
      <c r="R89" s="2">
        <f>SUM(N89:Q89)</f>
        <v/>
      </c>
      <c r="W89" s="2">
        <f>SUM(S89:V89)</f>
        <v/>
      </c>
      <c r="AC89" s="2">
        <f>SUM(X89:AB89)</f>
        <v/>
      </c>
      <c r="AD89" s="2">
        <f>R89+W89+AC89</f>
        <v/>
      </c>
      <c r="AI89" s="2">
        <f>SUM(AE89:AH89)</f>
        <v/>
      </c>
      <c r="AN89" s="2">
        <f>SUM(AJ89:AM89)</f>
        <v/>
      </c>
      <c r="AT89" s="2">
        <f>SUM(AO89:AS89)</f>
        <v/>
      </c>
      <c r="AU89" s="2">
        <f>AI89+AN89+AT89</f>
        <v/>
      </c>
      <c r="AZ89" s="2">
        <f>SUM(AV89:AY89)</f>
        <v/>
      </c>
      <c r="BF89" s="2">
        <f>SUM(BA89:BE89)</f>
        <v/>
      </c>
      <c r="BK89" s="2">
        <f>SUM(BG89:BJ89)</f>
        <v/>
      </c>
      <c r="BL89" s="2">
        <f>AZ89+BF89+BK89</f>
        <v/>
      </c>
      <c r="BQ89" s="2">
        <f>SUM(BM89:BP89)</f>
        <v/>
      </c>
      <c r="BW89" s="2">
        <f>SUM(BR89:BV89)</f>
        <v/>
      </c>
      <c r="CB89" s="2">
        <f>SUM(BX89:CA89)</f>
        <v/>
      </c>
      <c r="CC89" s="2">
        <f>BQ89+BW89+CB89</f>
        <v/>
      </c>
      <c r="CD89" s="2">
        <f>AD89+AU89+BL89+CC89</f>
        <v/>
      </c>
    </row>
    <row r="90">
      <c r="A90" t="inlineStr">
        <is>
          <t>In process</t>
        </is>
      </c>
      <c r="B90" t="inlineStr">
        <is>
          <t>4.4</t>
        </is>
      </c>
      <c r="C90" t="inlineStr">
        <is>
          <t>Deep Well Concession / Casing  x 2 Wells</t>
        </is>
      </c>
      <c r="D90" t="inlineStr">
        <is>
          <t>PV Drilling</t>
        </is>
      </c>
      <c r="E90" t="inlineStr">
        <is>
          <t>Setena D1</t>
        </is>
      </c>
      <c r="F90" t="inlineStr">
        <is>
          <t>WATER</t>
        </is>
      </c>
      <c r="G90" s="2" t="n">
        <v>126227</v>
      </c>
      <c r="H90" s="2" t="n">
        <v>0</v>
      </c>
      <c r="I90" s="2">
        <f>G90+H90</f>
        <v/>
      </c>
      <c r="J90" s="2">
        <f>SUMIF(LEDGER!$A:$A,$B90,LEDGER!$G:$G)</f>
        <v/>
      </c>
      <c r="K90" s="2">
        <f>I90-J90</f>
        <v/>
      </c>
      <c r="L90" s="2">
        <f>J90+CD90</f>
        <v/>
      </c>
      <c r="M90" s="2">
        <f>I90-L90</f>
        <v/>
      </c>
      <c r="R90" s="2">
        <f>SUM(N90:Q90)</f>
        <v/>
      </c>
      <c r="W90" s="2">
        <f>SUM(S90:V90)</f>
        <v/>
      </c>
      <c r="AC90" s="2">
        <f>SUM(X90:AB90)</f>
        <v/>
      </c>
      <c r="AD90" s="2">
        <f>R90+W90+AC90</f>
        <v/>
      </c>
      <c r="AI90" s="2">
        <f>SUM(AE90:AH90)</f>
        <v/>
      </c>
      <c r="AN90" s="2">
        <f>SUM(AJ90:AM90)</f>
        <v/>
      </c>
      <c r="AT90" s="2">
        <f>SUM(AO90:AS90)</f>
        <v/>
      </c>
      <c r="AU90" s="2">
        <f>AI90+AN90+AT90</f>
        <v/>
      </c>
      <c r="AZ90" s="2">
        <f>SUM(AV90:AY90)</f>
        <v/>
      </c>
      <c r="BF90" s="2">
        <f>SUM(BA90:BE90)</f>
        <v/>
      </c>
      <c r="BK90" s="2">
        <f>SUM(BG90:BJ90)</f>
        <v/>
      </c>
      <c r="BL90" s="2">
        <f>AZ90+BF90+BK90</f>
        <v/>
      </c>
      <c r="BQ90" s="2">
        <f>SUM(BM90:BP90)</f>
        <v/>
      </c>
      <c r="BW90" s="2">
        <f>SUM(BR90:BV90)</f>
        <v/>
      </c>
      <c r="CB90" s="2">
        <f>SUM(BX90:CA90)</f>
        <v/>
      </c>
      <c r="CC90" s="2">
        <f>BQ90+BW90+CB90</f>
        <v/>
      </c>
      <c r="CD90" s="2">
        <f>AD90+AU90+BL90+CC90</f>
        <v/>
      </c>
    </row>
    <row r="91">
      <c r="A91" t="inlineStr">
        <is>
          <t>Approved</t>
        </is>
      </c>
      <c r="B91" t="inlineStr">
        <is>
          <t>8.1</t>
        </is>
      </c>
      <c r="C91" t="inlineStr">
        <is>
          <t>Water Department Negotiations</t>
        </is>
      </c>
      <c r="D91" t="inlineStr">
        <is>
          <t>Blake</t>
        </is>
      </c>
      <c r="E91" t="inlineStr">
        <is>
          <t>Setena D1</t>
        </is>
      </c>
      <c r="F91" t="inlineStr">
        <is>
          <t>Phase 1</t>
        </is>
      </c>
      <c r="G91" s="2" t="n">
        <v>28250</v>
      </c>
      <c r="H91" s="2" t="n">
        <v>0</v>
      </c>
      <c r="I91" s="2">
        <f>G91+H91</f>
        <v/>
      </c>
      <c r="J91" s="2">
        <f>SUMIF(LEDGER!$A:$A,$B91,LEDGER!$G:$G)</f>
        <v/>
      </c>
      <c r="K91" s="2">
        <f>I91-J91</f>
        <v/>
      </c>
      <c r="L91" s="2">
        <f>J91+CD91</f>
        <v/>
      </c>
      <c r="M91" s="2">
        <f>I91-L91</f>
        <v/>
      </c>
      <c r="N91" s="16" t="n"/>
      <c r="O91" s="16" t="n"/>
      <c r="P91" s="16" t="n"/>
      <c r="Q91" s="16" t="n"/>
      <c r="R91" s="2">
        <f>SUM(N91:Q91)</f>
        <v/>
      </c>
      <c r="S91" s="16" t="n"/>
      <c r="T91" s="16" t="n"/>
      <c r="U91" s="16" t="n"/>
      <c r="V91" s="16" t="n"/>
      <c r="W91" s="2">
        <f>SUM(S91:V91)</f>
        <v/>
      </c>
      <c r="X91" s="16" t="n"/>
      <c r="Y91" s="16" t="n"/>
      <c r="Z91" s="16" t="n"/>
      <c r="AA91" s="16" t="n"/>
      <c r="AB91" s="16" t="n"/>
      <c r="AC91" s="2">
        <f>SUM(X91:AB91)</f>
        <v/>
      </c>
      <c r="AD91" s="2">
        <f>R91+W91+AC91</f>
        <v/>
      </c>
      <c r="AE91" s="16" t="n"/>
      <c r="AI91" s="2">
        <f>SUM(AE91:AH91)</f>
        <v/>
      </c>
      <c r="AN91" s="2">
        <f>SUM(AJ91:AM91)</f>
        <v/>
      </c>
      <c r="AO91" s="17" t="n">
        <v>28250</v>
      </c>
      <c r="AT91" s="2">
        <f>SUM(AO91:AS91)</f>
        <v/>
      </c>
      <c r="AU91" s="2">
        <f>AI91+AN91+AT91</f>
        <v/>
      </c>
      <c r="AZ91" s="2">
        <f>SUM(AV91:AY91)</f>
        <v/>
      </c>
      <c r="BF91" s="2">
        <f>SUM(BA91:BE91)</f>
        <v/>
      </c>
      <c r="BK91" s="2">
        <f>SUM(BG91:BJ91)</f>
        <v/>
      </c>
      <c r="BL91" s="2">
        <f>AZ91+BF91+BK91</f>
        <v/>
      </c>
      <c r="BQ91" s="2">
        <f>SUM(BM91:BP91)</f>
        <v/>
      </c>
      <c r="BW91" s="2">
        <f>SUM(BR91:BV91)</f>
        <v/>
      </c>
      <c r="CB91" s="2">
        <f>SUM(BX91:CA91)</f>
        <v/>
      </c>
      <c r="CC91" s="2">
        <f>BQ91+BW91+CB91</f>
        <v/>
      </c>
      <c r="CD91" s="2">
        <f>AD91+AU91+BL91+CC91</f>
        <v/>
      </c>
    </row>
    <row r="92">
      <c r="A92" t="inlineStr">
        <is>
          <t>Approved</t>
        </is>
      </c>
      <c r="B92" t="inlineStr">
        <is>
          <t>8.2</t>
        </is>
      </c>
      <c r="C92" t="inlineStr">
        <is>
          <t>SETENA (VA) Approval</t>
        </is>
      </c>
      <c r="D92" t="inlineStr">
        <is>
          <t>Blake</t>
        </is>
      </c>
      <c r="E92" t="inlineStr">
        <is>
          <t>Setena D1</t>
        </is>
      </c>
      <c r="F92" t="inlineStr">
        <is>
          <t>Phase 1</t>
        </is>
      </c>
      <c r="G92" s="2" t="n">
        <v>42374.99999999999</v>
      </c>
      <c r="H92" s="2" t="n">
        <v>0</v>
      </c>
      <c r="I92" s="2">
        <f>G92+H92</f>
        <v/>
      </c>
      <c r="J92" s="2">
        <f>SUMIF(LEDGER!$A:$A,$B92,LEDGER!$G:$G)</f>
        <v/>
      </c>
      <c r="K92" s="2">
        <f>I92-J92</f>
        <v/>
      </c>
      <c r="L92" s="2">
        <f>J92+CD92</f>
        <v/>
      </c>
      <c r="M92" s="2">
        <f>I92-L92</f>
        <v/>
      </c>
      <c r="N92" s="16" t="n"/>
      <c r="O92" s="16" t="n"/>
      <c r="P92" s="16" t="n"/>
      <c r="Q92" s="16" t="n"/>
      <c r="R92" s="2">
        <f>SUM(N92:Q92)</f>
        <v/>
      </c>
      <c r="S92" s="16" t="n"/>
      <c r="T92" s="16" t="n"/>
      <c r="U92" s="16" t="n"/>
      <c r="V92" s="16" t="n"/>
      <c r="W92" s="2">
        <f>SUM(S92:V92)</f>
        <v/>
      </c>
      <c r="X92" s="16" t="n"/>
      <c r="Y92" s="16" t="n"/>
      <c r="Z92" s="16" t="n"/>
      <c r="AA92" s="16" t="n"/>
      <c r="AB92" s="16" t="n"/>
      <c r="AC92" s="2">
        <f>SUM(X92:AB92)</f>
        <v/>
      </c>
      <c r="AD92" s="2">
        <f>R92+W92+AC92</f>
        <v/>
      </c>
      <c r="AE92" s="16" t="n"/>
      <c r="AI92" s="2">
        <f>SUM(AE92:AH92)</f>
        <v/>
      </c>
      <c r="AN92" s="2">
        <f>SUM(AJ92:AM92)</f>
        <v/>
      </c>
      <c r="AT92" s="2">
        <f>SUM(AO92:AS92)</f>
        <v/>
      </c>
      <c r="AU92" s="2">
        <f>AI92+AN92+AT92</f>
        <v/>
      </c>
      <c r="AZ92" s="2">
        <f>SUM(AV92:AY92)</f>
        <v/>
      </c>
      <c r="BF92" s="2">
        <f>SUM(BA92:BE92)</f>
        <v/>
      </c>
      <c r="BK92" s="2">
        <f>SUM(BG92:BJ92)</f>
        <v/>
      </c>
      <c r="BL92" s="2">
        <f>AZ92+BF92+BK92</f>
        <v/>
      </c>
      <c r="BQ92" s="2">
        <f>SUM(BM92:BP92)</f>
        <v/>
      </c>
      <c r="BW92" s="2">
        <f>SUM(BR92:BV92)</f>
        <v/>
      </c>
      <c r="CA92" s="17" t="n">
        <v>42375</v>
      </c>
      <c r="CB92" s="2">
        <f>SUM(BX92:CA92)</f>
        <v/>
      </c>
      <c r="CC92" s="2">
        <f>BQ92+BW92+CB92</f>
        <v/>
      </c>
      <c r="CD92" s="2">
        <f>AD92+AU92+BL92+CC92</f>
        <v/>
      </c>
    </row>
    <row r="93">
      <c r="A93" t="inlineStr">
        <is>
          <t>Approved</t>
        </is>
      </c>
      <c r="B93" t="inlineStr">
        <is>
          <t>8.4</t>
        </is>
      </c>
      <c r="C93" t="inlineStr">
        <is>
          <t>Obtain Beach Club Permits</t>
        </is>
      </c>
      <c r="D93" t="inlineStr">
        <is>
          <t>Blake</t>
        </is>
      </c>
      <c r="E93" t="inlineStr">
        <is>
          <t>Setena D1</t>
        </is>
      </c>
      <c r="F93" t="inlineStr">
        <is>
          <t>BEACH CLUB P1</t>
        </is>
      </c>
      <c r="G93" s="2" t="n">
        <v>14125</v>
      </c>
      <c r="H93" s="2" t="n">
        <v>0</v>
      </c>
      <c r="I93" s="2">
        <f>G93+H93</f>
        <v/>
      </c>
      <c r="J93" s="2">
        <f>SUMIF(LEDGER!$A:$A,$B93,LEDGER!$G:$G)</f>
        <v/>
      </c>
      <c r="K93" s="2">
        <f>I93-J93</f>
        <v/>
      </c>
      <c r="L93" s="2">
        <f>J93+CD93</f>
        <v/>
      </c>
      <c r="M93" s="2">
        <f>I93-L93</f>
        <v/>
      </c>
      <c r="R93" s="2">
        <f>SUM(N93:Q93)</f>
        <v/>
      </c>
      <c r="W93" s="2">
        <f>SUM(S93:V93)</f>
        <v/>
      </c>
      <c r="AC93" s="2">
        <f>SUM(X93:AB93)</f>
        <v/>
      </c>
      <c r="AD93" s="2">
        <f>R93+W93+AC93</f>
        <v/>
      </c>
      <c r="AI93" s="2">
        <f>SUM(AE93:AH93)</f>
        <v/>
      </c>
      <c r="AN93" s="2">
        <f>SUM(AJ93:AM93)</f>
        <v/>
      </c>
      <c r="AT93" s="2">
        <f>SUM(AO93:AS93)</f>
        <v/>
      </c>
      <c r="AU93" s="2">
        <f>AI93+AN93+AT93</f>
        <v/>
      </c>
      <c r="AZ93" s="2">
        <f>SUM(AV93:AY93)</f>
        <v/>
      </c>
      <c r="BF93" s="2">
        <f>SUM(BA93:BE93)</f>
        <v/>
      </c>
      <c r="BG93" s="17" t="n">
        <v>14125</v>
      </c>
      <c r="BK93" s="2">
        <f>SUM(BG93:BJ93)</f>
        <v/>
      </c>
      <c r="BL93" s="2">
        <f>AZ93+BF93+BK93</f>
        <v/>
      </c>
      <c r="BQ93" s="2">
        <f>SUM(BM93:BP93)</f>
        <v/>
      </c>
      <c r="BW93" s="2">
        <f>SUM(BR93:BV93)</f>
        <v/>
      </c>
      <c r="CB93" s="2">
        <f>SUM(BX93:CA93)</f>
        <v/>
      </c>
      <c r="CC93" s="2">
        <f>BQ93+BW93+CB93</f>
        <v/>
      </c>
      <c r="CD93" s="2">
        <f>AD93+AU93+BL93+CC93</f>
        <v/>
      </c>
    </row>
    <row r="94">
      <c r="A94" s="10" t="n"/>
      <c r="B94" s="10" t="n"/>
      <c r="C94" s="11" t="inlineStr">
        <is>
          <t>TOTAL Setena D1</t>
        </is>
      </c>
      <c r="D94" s="10" t="n"/>
      <c r="E94" s="10" t="n"/>
      <c r="F94" s="10" t="n"/>
      <c r="G94" s="15">
        <f>G72+G73+G74+G75+G76+G77+G78+G79+G80+G81+G82+G83+G84+G85+G86+G87+G88+G89+G90+G91+G92+G93</f>
        <v/>
      </c>
      <c r="H94" s="15">
        <f>H72+H73+H74+H75+H76+H77+H78+H79+H80+H81+H82+H83+H84+H85+H86+H87+H88+H89+H90+H91+H92+H93</f>
        <v/>
      </c>
      <c r="I94" s="15">
        <f>I72+I73+I74+I75+I76+I77+I78+I79+I80+I81+I82+I83+I84+I85+I86+I87+I88+I89+I90+I91+I92+I93</f>
        <v/>
      </c>
      <c r="J94" s="15">
        <f>J72+J73+J74+J75+J76+J77+J78+J79+J80+J81+J82+J83+J84+J85+J86+J87+J88+J89+J90+J91+J92+J93</f>
        <v/>
      </c>
      <c r="K94" s="15">
        <f>K72+K73+K74+K75+K76+K77+K78+K79+K80+K81+K82+K83+K84+K85+K86+K87+K88+K89+K90+K91+K92+K93</f>
        <v/>
      </c>
      <c r="L94" s="15">
        <f>L72+L73+L74+L75+L76+L77+L78+L79+L80+L81+L82+L83+L84+L85+L86+L87+L88+L89+L90+L91+L92+L93</f>
        <v/>
      </c>
      <c r="M94" s="15">
        <f>M72+M73+M74+M75+M76+M77+M78+M79+M80+M81+M82+M83+M84+M85+M86+M87+M88+M89+M90+M91+M92+M93</f>
        <v/>
      </c>
      <c r="N94" s="10" t="n"/>
      <c r="O94" s="10" t="n"/>
      <c r="P94" s="10" t="n"/>
      <c r="Q94" s="10" t="n"/>
      <c r="R94" s="15">
        <f>R72+R73+R74+R75+R76+R77+R78+R79+R80+R81+R82+R83+R84+R85+R86+R87+R88+R89+R90+R91+R92+R93</f>
        <v/>
      </c>
      <c r="S94" s="10" t="n"/>
      <c r="T94" s="10" t="n"/>
      <c r="U94" s="10" t="n"/>
      <c r="V94" s="10" t="n"/>
      <c r="W94" s="15">
        <f>W72+W73+W74+W75+W76+W77+W78+W79+W80+W81+W82+W83+W84+W85+W86+W87+W88+W89+W90+W91+W92+W93</f>
        <v/>
      </c>
      <c r="X94" s="10" t="n"/>
      <c r="Y94" s="10" t="n"/>
      <c r="Z94" s="10" t="n"/>
      <c r="AA94" s="10" t="n"/>
      <c r="AB94" s="10" t="n"/>
      <c r="AC94" s="15">
        <f>AC72+AC73+AC74+AC75+AC76+AC77+AC78+AC79+AC80+AC81+AC82+AC83+AC84+AC85+AC86+AC87+AC88+AC89+AC90+AC91+AC92+AC93</f>
        <v/>
      </c>
      <c r="AD94" s="15">
        <f>AD72+AD73+AD74+AD75+AD76+AD77+AD78+AD79+AD80+AD81+AD82+AD83+AD84+AD85+AD86+AD87+AD88+AD89+AD90+AD91+AD92+AD93</f>
        <v/>
      </c>
      <c r="AE94" s="10" t="n"/>
      <c r="AF94" s="10" t="n"/>
      <c r="AG94" s="10" t="n"/>
      <c r="AH94" s="10" t="n"/>
      <c r="AI94" s="15">
        <f>AI72+AI73+AI74+AI75+AI76+AI77+AI78+AI79+AI80+AI81+AI82+AI83+AI84+AI85+AI86+AI87+AI88+AI89+AI90+AI91+AI92+AI93</f>
        <v/>
      </c>
      <c r="AJ94" s="10" t="n"/>
      <c r="AK94" s="10" t="n"/>
      <c r="AL94" s="10" t="n"/>
      <c r="AM94" s="10" t="n"/>
      <c r="AN94" s="15">
        <f>AN72+AN73+AN74+AN75+AN76+AN77+AN78+AN79+AN80+AN81+AN82+AN83+AN84+AN85+AN86+AN87+AN88+AN89+AN90+AN91+AN92+AN93</f>
        <v/>
      </c>
      <c r="AO94" s="10" t="n"/>
      <c r="AP94" s="10" t="n"/>
      <c r="AQ94" s="10" t="n"/>
      <c r="AR94" s="10" t="n"/>
      <c r="AS94" s="10" t="n"/>
      <c r="AT94" s="15">
        <f>AT72+AT73+AT74+AT75+AT76+AT77+AT78+AT79+AT80+AT81+AT82+AT83+AT84+AT85+AT86+AT87+AT88+AT89+AT90+AT91+AT92+AT93</f>
        <v/>
      </c>
      <c r="AU94" s="15">
        <f>AU72+AU73+AU74+AU75+AU76+AU77+AU78+AU79+AU80+AU81+AU82+AU83+AU84+AU85+AU86+AU87+AU88+AU89+AU90+AU91+AU92+AU93</f>
        <v/>
      </c>
      <c r="AV94" s="10" t="n"/>
      <c r="AW94" s="10" t="n"/>
      <c r="AX94" s="10" t="n"/>
      <c r="AY94" s="10" t="n"/>
      <c r="AZ94" s="15">
        <f>AZ72+AZ73+AZ74+AZ75+AZ76+AZ77+AZ78+AZ79+AZ80+AZ81+AZ82+AZ83+AZ84+AZ85+AZ86+AZ87+AZ88+AZ89+AZ90+AZ91+AZ92+AZ93</f>
        <v/>
      </c>
      <c r="BA94" s="10" t="n"/>
      <c r="BB94" s="10" t="n"/>
      <c r="BC94" s="10" t="n"/>
      <c r="BD94" s="10" t="n"/>
      <c r="BE94" s="10" t="n"/>
      <c r="BF94" s="15">
        <f>BF72+BF73+BF74+BF75+BF76+BF77+BF78+BF79+BF80+BF81+BF82+BF83+BF84+BF85+BF86+BF87+BF88+BF89+BF90+BF91+BF92+BF93</f>
        <v/>
      </c>
      <c r="BG94" s="10" t="n"/>
      <c r="BH94" s="10" t="n"/>
      <c r="BI94" s="10" t="n"/>
      <c r="BJ94" s="10" t="n"/>
      <c r="BK94" s="15">
        <f>BK72+BK73+BK74+BK75+BK76+BK77+BK78+BK79+BK80+BK81+BK82+BK83+BK84+BK85+BK86+BK87+BK88+BK89+BK90+BK91+BK92+BK93</f>
        <v/>
      </c>
      <c r="BL94" s="15">
        <f>BL72+BL73+BL74+BL75+BL76+BL77+BL78+BL79+BL80+BL81+BL82+BL83+BL84+BL85+BL86+BL87+BL88+BL89+BL90+BL91+BL92+BL93</f>
        <v/>
      </c>
      <c r="BM94" s="10" t="n"/>
      <c r="BN94" s="10" t="n"/>
      <c r="BO94" s="10" t="n"/>
      <c r="BP94" s="10" t="n"/>
      <c r="BQ94" s="15">
        <f>BQ72+BQ73+BQ74+BQ75+BQ76+BQ77+BQ78+BQ79+BQ80+BQ81+BQ82+BQ83+BQ84+BQ85+BQ86+BQ87+BQ88+BQ89+BQ90+BQ91+BQ92+BQ93</f>
        <v/>
      </c>
      <c r="BR94" s="10" t="n"/>
      <c r="BS94" s="10" t="n"/>
      <c r="BT94" s="10" t="n"/>
      <c r="BU94" s="10" t="n"/>
      <c r="BV94" s="10" t="n"/>
      <c r="BW94" s="15">
        <f>BW72+BW73+BW74+BW75+BW76+BW77+BW78+BW79+BW80+BW81+BW82+BW83+BW84+BW85+BW86+BW87+BW88+BW89+BW90+BW91+BW92+BW93</f>
        <v/>
      </c>
      <c r="BX94" s="10" t="n"/>
      <c r="BY94" s="10" t="n"/>
      <c r="BZ94" s="10" t="n"/>
      <c r="CA94" s="10" t="n"/>
      <c r="CB94" s="15">
        <f>CB72+CB73+CB74+CB75+CB76+CB77+CB78+CB79+CB80+CB81+CB82+CB83+CB84+CB85+CB86+CB87+CB88+CB89+CB90+CB91+CB92+CB93</f>
        <v/>
      </c>
      <c r="CC94" s="15">
        <f>CC72+CC73+CC74+CC75+CC76+CC77+CC78+CC79+CC80+CC81+CC82+CC83+CC84+CC85+CC86+CC87+CC88+CC89+CC90+CC91+CC92+CC93</f>
        <v/>
      </c>
      <c r="CD94" s="15">
        <f>CD72+CD73+CD74+CD75+CD76+CD77+CD78+CD79+CD80+CD81+CD82+CD83+CD84+CD85+CD86+CD87+CD88+CD89+CD90+CD91+CD92+CD93</f>
        <v/>
      </c>
    </row>
    <row r="95">
      <c r="A95" s="12" t="inlineStr">
        <is>
          <t>SIN CATEGORÍA</t>
        </is>
      </c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  <c r="AF95" s="13" t="n"/>
      <c r="AG95" s="13" t="n"/>
      <c r="AH95" s="13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3" t="n"/>
      <c r="AS95" s="13" t="n"/>
      <c r="AT95" s="13" t="n"/>
      <c r="AU95" s="13" t="n"/>
      <c r="AV95" s="13" t="n"/>
      <c r="AW95" s="13" t="n"/>
      <c r="AX95" s="13" t="n"/>
      <c r="AY95" s="13" t="n"/>
      <c r="AZ95" s="13" t="n"/>
      <c r="BA95" s="13" t="n"/>
      <c r="BB95" s="13" t="n"/>
      <c r="BC95" s="13" t="n"/>
      <c r="BD95" s="13" t="n"/>
      <c r="BE95" s="13" t="n"/>
      <c r="BF95" s="13" t="n"/>
      <c r="BG95" s="13" t="n"/>
      <c r="BH95" s="13" t="n"/>
      <c r="BI95" s="13" t="n"/>
      <c r="BJ95" s="13" t="n"/>
      <c r="BK95" s="13" t="n"/>
      <c r="BL95" s="13" t="n"/>
      <c r="BM95" s="13" t="n"/>
      <c r="BN95" s="13" t="n"/>
      <c r="BO95" s="13" t="n"/>
      <c r="BP95" s="13" t="n"/>
      <c r="BQ95" s="13" t="n"/>
      <c r="BR95" s="13" t="n"/>
      <c r="BS95" s="13" t="n"/>
      <c r="BT95" s="13" t="n"/>
      <c r="BU95" s="13" t="n"/>
      <c r="BV95" s="13" t="n"/>
      <c r="BW95" s="13" t="n"/>
      <c r="BX95" s="13" t="n"/>
      <c r="BY95" s="13" t="n"/>
      <c r="BZ95" s="13" t="n"/>
      <c r="CA95" s="13" t="n"/>
      <c r="CB95" s="13" t="n"/>
      <c r="CC95" s="13" t="n"/>
      <c r="CD95" s="13" t="n"/>
    </row>
    <row r="96">
      <c r="A96" t="inlineStr">
        <is>
          <t>Approved</t>
        </is>
      </c>
      <c r="B96" t="inlineStr">
        <is>
          <t>7.1</t>
        </is>
      </c>
      <c r="C96" t="inlineStr">
        <is>
          <t>Project information</t>
        </is>
      </c>
      <c r="D96" t="inlineStr">
        <is>
          <t>Blake</t>
        </is>
      </c>
      <c r="E96" t="inlineStr">
        <is>
          <t>Sin categoría</t>
        </is>
      </c>
      <c r="G96" s="2" t="n">
        <v>0</v>
      </c>
      <c r="H96" s="2" t="n">
        <v>0</v>
      </c>
      <c r="I96" s="2">
        <f>G96+H96</f>
        <v/>
      </c>
      <c r="J96" s="2">
        <f>SUMIF(LEDGER!$A:$A,$B96,LEDGER!$G:$G)</f>
        <v/>
      </c>
      <c r="K96" s="2">
        <f>I96-J96</f>
        <v/>
      </c>
      <c r="L96" s="2">
        <f>J96+CD96</f>
        <v/>
      </c>
      <c r="M96" s="2">
        <f>I96-L96</f>
        <v/>
      </c>
      <c r="R96" s="2">
        <f>SUM(N96:Q96)</f>
        <v/>
      </c>
      <c r="W96" s="2">
        <f>SUM(S96:V96)</f>
        <v/>
      </c>
      <c r="AC96" s="2">
        <f>SUM(X96:AB96)</f>
        <v/>
      </c>
      <c r="AD96" s="2">
        <f>R96+W96+AC96</f>
        <v/>
      </c>
      <c r="AI96" s="2">
        <f>SUM(AE96:AH96)</f>
        <v/>
      </c>
      <c r="AN96" s="2">
        <f>SUM(AJ96:AM96)</f>
        <v/>
      </c>
      <c r="AT96" s="2">
        <f>SUM(AO96:AS96)</f>
        <v/>
      </c>
      <c r="AU96" s="2">
        <f>AI96+AN96+AT96</f>
        <v/>
      </c>
      <c r="AZ96" s="2">
        <f>SUM(AV96:AY96)</f>
        <v/>
      </c>
      <c r="BF96" s="2">
        <f>SUM(BA96:BE96)</f>
        <v/>
      </c>
      <c r="BK96" s="2">
        <f>SUM(BG96:BJ96)</f>
        <v/>
      </c>
      <c r="BL96" s="2">
        <f>AZ96+BF96+BK96</f>
        <v/>
      </c>
      <c r="BQ96" s="2">
        <f>SUM(BM96:BP96)</f>
        <v/>
      </c>
      <c r="BW96" s="2">
        <f>SUM(BR96:BV96)</f>
        <v/>
      </c>
      <c r="CB96" s="2">
        <f>SUM(BX96:CA96)</f>
        <v/>
      </c>
      <c r="CC96" s="2">
        <f>BQ96+BW96+CB96</f>
        <v/>
      </c>
      <c r="CD96" s="2">
        <f>AD96+AU96+BL96+CC96</f>
        <v/>
      </c>
    </row>
    <row r="97">
      <c r="A97" s="10" t="n"/>
      <c r="B97" s="10" t="n"/>
      <c r="C97" s="11" t="inlineStr">
        <is>
          <t>TOTAL Sin categoría</t>
        </is>
      </c>
      <c r="D97" s="10" t="n"/>
      <c r="E97" s="10" t="n"/>
      <c r="F97" s="10" t="n"/>
      <c r="G97" s="15">
        <f>G96</f>
        <v/>
      </c>
      <c r="H97" s="15">
        <f>H96</f>
        <v/>
      </c>
      <c r="I97" s="15">
        <f>I96</f>
        <v/>
      </c>
      <c r="J97" s="15">
        <f>J96</f>
        <v/>
      </c>
      <c r="K97" s="15">
        <f>K96</f>
        <v/>
      </c>
      <c r="L97" s="15">
        <f>L96</f>
        <v/>
      </c>
      <c r="M97" s="15">
        <f>M96</f>
        <v/>
      </c>
      <c r="N97" s="10" t="n"/>
      <c r="O97" s="10" t="n"/>
      <c r="P97" s="10" t="n"/>
      <c r="Q97" s="10" t="n"/>
      <c r="R97" s="15">
        <f>R96</f>
        <v/>
      </c>
      <c r="S97" s="10" t="n"/>
      <c r="T97" s="10" t="n"/>
      <c r="U97" s="10" t="n"/>
      <c r="V97" s="10" t="n"/>
      <c r="W97" s="15">
        <f>W96</f>
        <v/>
      </c>
      <c r="X97" s="10" t="n"/>
      <c r="Y97" s="10" t="n"/>
      <c r="Z97" s="10" t="n"/>
      <c r="AA97" s="10" t="n"/>
      <c r="AB97" s="10" t="n"/>
      <c r="AC97" s="15">
        <f>AC96</f>
        <v/>
      </c>
      <c r="AD97" s="15">
        <f>AD96</f>
        <v/>
      </c>
      <c r="AE97" s="10" t="n"/>
      <c r="AF97" s="10" t="n"/>
      <c r="AG97" s="10" t="n"/>
      <c r="AH97" s="10" t="n"/>
      <c r="AI97" s="15">
        <f>AI96</f>
        <v/>
      </c>
      <c r="AJ97" s="10" t="n"/>
      <c r="AK97" s="10" t="n"/>
      <c r="AL97" s="10" t="n"/>
      <c r="AM97" s="10" t="n"/>
      <c r="AN97" s="15">
        <f>AN96</f>
        <v/>
      </c>
      <c r="AO97" s="10" t="n"/>
      <c r="AP97" s="10" t="n"/>
      <c r="AQ97" s="10" t="n"/>
      <c r="AR97" s="10" t="n"/>
      <c r="AS97" s="10" t="n"/>
      <c r="AT97" s="15">
        <f>AT96</f>
        <v/>
      </c>
      <c r="AU97" s="15">
        <f>AU96</f>
        <v/>
      </c>
      <c r="AV97" s="10" t="n"/>
      <c r="AW97" s="10" t="n"/>
      <c r="AX97" s="10" t="n"/>
      <c r="AY97" s="10" t="n"/>
      <c r="AZ97" s="15">
        <f>AZ96</f>
        <v/>
      </c>
      <c r="BA97" s="10" t="n"/>
      <c r="BB97" s="10" t="n"/>
      <c r="BC97" s="10" t="n"/>
      <c r="BD97" s="10" t="n"/>
      <c r="BE97" s="10" t="n"/>
      <c r="BF97" s="15">
        <f>BF96</f>
        <v/>
      </c>
      <c r="BG97" s="10" t="n"/>
      <c r="BH97" s="10" t="n"/>
      <c r="BI97" s="10" t="n"/>
      <c r="BJ97" s="10" t="n"/>
      <c r="BK97" s="15">
        <f>BK96</f>
        <v/>
      </c>
      <c r="BL97" s="15">
        <f>BL96</f>
        <v/>
      </c>
      <c r="BM97" s="10" t="n"/>
      <c r="BN97" s="10" t="n"/>
      <c r="BO97" s="10" t="n"/>
      <c r="BP97" s="10" t="n"/>
      <c r="BQ97" s="15">
        <f>BQ96</f>
        <v/>
      </c>
      <c r="BR97" s="10" t="n"/>
      <c r="BS97" s="10" t="n"/>
      <c r="BT97" s="10" t="n"/>
      <c r="BU97" s="10" t="n"/>
      <c r="BV97" s="10" t="n"/>
      <c r="BW97" s="15">
        <f>BW96</f>
        <v/>
      </c>
      <c r="BX97" s="10" t="n"/>
      <c r="BY97" s="10" t="n"/>
      <c r="BZ97" s="10" t="n"/>
      <c r="CA97" s="10" t="n"/>
      <c r="CB97" s="15">
        <f>CB96</f>
        <v/>
      </c>
      <c r="CC97" s="15">
        <f>CC96</f>
        <v/>
      </c>
      <c r="CD97" s="15">
        <f>CD96</f>
        <v/>
      </c>
    </row>
    <row r="98">
      <c r="A98" s="20" t="n"/>
      <c r="B98" s="20" t="n"/>
      <c r="C98" s="21" t="inlineStr">
        <is>
          <t>PROJECT TOTAL</t>
        </is>
      </c>
      <c r="D98" s="20" t="n"/>
      <c r="E98" s="20" t="n"/>
      <c r="F98" s="20" t="n"/>
      <c r="G98" s="22">
        <f>G8+G9+G12+G13+G14+G15+G16+G19+G20+G21+G22+G23+G24+G25+G26+G27+G28+G29+G32+G33+G34+G35+G36+G37+G38+G39+G40+G43+G44+G45+G46+G47+G48+G49+G50+G51+G52+G53+G54+G55+G56+G57+G58+G59+G60+G61+G62+G63+G64+G65+G66+G67+G68+G69+G72+G73+G74+G75+G76+G77+G78+G79+G80+G81+G82+G83+G84+G85+G86+G87+G88+G89+G90+G91+G92+G93+G96</f>
        <v/>
      </c>
      <c r="H98" s="22">
        <f>H8+H9+H12+H13+H14+H15+H16+H19+H20+H21+H22+H23+H24+H25+H26+H27+H28+H29+H32+H33+H34+H35+H36+H37+H38+H39+H40+H43+H44+H45+H46+H47+H48+H49+H50+H51+H52+H53+H54+H55+H56+H57+H58+H59+H60+H61+H62+H63+H64+H65+H66+H67+H68+H69+H72+H73+H74+H75+H76+H77+H78+H79+H80+H81+H82+H83+H84+H85+H86+H87+H88+H89+H90+H91+H92+H93+H96</f>
        <v/>
      </c>
      <c r="I98" s="22">
        <f>I8+I9+I12+I13+I14+I15+I16+I19+I20+I21+I22+I23+I24+I25+I26+I27+I28+I29+I32+I33+I34+I35+I36+I37+I38+I39+I40+I43+I44+I45+I46+I47+I48+I49+I50+I51+I52+I53+I54+I55+I56+I57+I58+I59+I60+I61+I62+I63+I64+I65+I66+I67+I68+I69+I72+I73+I74+I75+I76+I77+I78+I79+I80+I81+I82+I83+I84+I85+I86+I87+I88+I89+I90+I91+I92+I93+I96</f>
        <v/>
      </c>
      <c r="J98" s="22">
        <f>J8+J9+J12+J13+J14+J15+J16+J19+J20+J21+J22+J23+J24+J25+J26+J27+J28+J29+J32+J33+J34+J35+J36+J37+J38+J39+J40+J43+J44+J45+J46+J47+J48+J49+J50+J51+J52+J53+J54+J55+J56+J57+J58+J59+J60+J61+J62+J63+J64+J65+J66+J67+J68+J69+J72+J73+J74+J75+J76+J77+J78+J79+J80+J81+J82+J83+J84+J85+J86+J87+J88+J89+J90+J91+J92+J93+J96</f>
        <v/>
      </c>
      <c r="K98" s="22">
        <f>K8+K9+K12+K13+K14+K15+K16+K19+K20+K21+K22+K23+K24+K25+K26+K27+K28+K29+K32+K33+K34+K35+K36+K37+K38+K39+K40+K43+K44+K45+K46+K47+K48+K49+K50+K51+K52+K53+K54+K55+K56+K57+K58+K59+K60+K61+K62+K63+K64+K65+K66+K67+K68+K69+K72+K73+K74+K75+K76+K77+K78+K79+K80+K81+K82+K83+K84+K85+K86+K87+K88+K89+K90+K91+K92+K93+K96</f>
        <v/>
      </c>
      <c r="L98" s="22">
        <f>L8+L9+L12+L13+L14+L15+L16+L19+L20+L21+L22+L23+L24+L25+L26+L27+L28+L29+L32+L33+L34+L35+L36+L37+L38+L39+L40+L43+L44+L45+L46+L47+L48+L49+L50+L51+L52+L53+L54+L55+L56+L57+L58+L59+L60+L61+L62+L63+L64+L65+L66+L67+L68+L69+L72+L73+L74+L75+L76+L77+L78+L79+L80+L81+L82+L83+L84+L85+L86+L87+L88+L89+L90+L91+L92+L93+L96</f>
        <v/>
      </c>
      <c r="M98" s="22">
        <f>M8+M9+M12+M13+M14+M15+M16+M19+M20+M21+M22+M23+M24+M25+M26+M27+M28+M29+M32+M33+M34+M35+M36+M37+M38+M39+M40+M43+M44+M45+M46+M47+M48+M49+M50+M51+M52+M53+M54+M55+M56+M57+M58+M59+M60+M61+M62+M63+M64+M65+M66+M67+M68+M69+M72+M73+M74+M75+M76+M77+M78+M79+M80+M81+M82+M83+M84+M85+M86+M87+M88+M89+M90+M91+M92+M93+M96</f>
        <v/>
      </c>
      <c r="N98" s="20" t="n"/>
      <c r="O98" s="20" t="n"/>
      <c r="P98" s="20" t="n"/>
      <c r="Q98" s="20" t="n"/>
      <c r="R98" s="22">
        <f>R8+R9+R12+R13+R14+R15+R16+R19+R20+R21+R22+R23+R24+R25+R26+R27+R28+R29+R32+R33+R34+R35+R36+R37+R38+R39+R40+R43+R44+R45+R46+R47+R48+R49+R50+R51+R52+R53+R54+R55+R56+R57+R58+R59+R60+R61+R62+R63+R64+R65+R66+R67+R68+R69+R72+R73+R74+R75+R76+R77+R78+R79+R80+R81+R82+R83+R84+R85+R86+R87+R88+R89+R90+R91+R92+R93+R96</f>
        <v/>
      </c>
      <c r="S98" s="20" t="n"/>
      <c r="T98" s="20" t="n"/>
      <c r="U98" s="20" t="n"/>
      <c r="V98" s="20" t="n"/>
      <c r="W98" s="22">
        <f>W8+W9+W12+W13+W14+W15+W16+W19+W20+W21+W22+W23+W24+W25+W26+W27+W28+W29+W32+W33+W34+W35+W36+W37+W38+W39+W40+W43+W44+W45+W46+W47+W48+W49+W50+W51+W52+W53+W54+W55+W56+W57+W58+W59+W60+W61+W62+W63+W64+W65+W66+W67+W68+W69+W72+W73+W74+W75+W76+W77+W78+W79+W80+W81+W82+W83+W84+W85+W86+W87+W88+W89+W90+W91+W92+W93+W96</f>
        <v/>
      </c>
      <c r="X98" s="20" t="n"/>
      <c r="Y98" s="20" t="n"/>
      <c r="Z98" s="20" t="n"/>
      <c r="AA98" s="20" t="n"/>
      <c r="AB98" s="20" t="n"/>
      <c r="AC98" s="22">
        <f>AC8+AC9+AC12+AC13+AC14+AC15+AC16+AC19+AC20+AC21+AC22+AC23+AC24+AC25+AC26+AC27+AC28+AC29+AC32+AC33+AC34+AC35+AC36+AC37+AC38+AC39+AC40+AC43+AC44+AC45+AC46+AC47+AC48+AC49+AC50+AC51+AC52+AC53+AC54+AC55+AC56+AC57+AC58+AC59+AC60+AC61+AC62+AC63+AC64+AC65+AC66+AC67+AC68+AC69+AC72+AC73+AC74+AC75+AC76+AC77+AC78+AC79+AC80+AC81+AC82+AC83+AC84+AC85+AC86+AC87+AC88+AC89+AC90+AC91+AC92+AC93+AC96</f>
        <v/>
      </c>
      <c r="AD98" s="22">
        <f>AD8+AD9+AD12+AD13+AD14+AD15+AD16+AD19+AD20+AD21+AD22+AD23+AD24+AD25+AD26+AD27+AD28+AD29+AD32+AD33+AD34+AD35+AD36+AD37+AD38+AD39+AD40+AD43+AD44+AD45+AD46+AD47+AD48+AD49+AD50+AD51+AD52+AD53+AD54+AD55+AD56+AD57+AD58+AD59+AD60+AD61+AD62+AD63+AD64+AD65+AD66+AD67+AD68+AD69+AD72+AD73+AD74+AD75+AD76+AD77+AD78+AD79+AD80+AD81+AD82+AD83+AD84+AD85+AD86+AD87+AD88+AD89+AD90+AD91+AD92+AD93+AD96</f>
        <v/>
      </c>
      <c r="AE98" s="20" t="n"/>
      <c r="AF98" s="20" t="n"/>
      <c r="AG98" s="20" t="n"/>
      <c r="AH98" s="20" t="n"/>
      <c r="AI98" s="22">
        <f>AI8+AI9+AI12+AI13+AI14+AI15+AI16+AI19+AI20+AI21+AI22+AI23+AI24+AI25+AI26+AI27+AI28+AI29+AI32+AI33+AI34+AI35+AI36+AI37+AI38+AI39+AI40+AI43+AI44+AI45+AI46+AI47+AI48+AI49+AI50+AI51+AI52+AI53+AI54+AI55+AI56+AI57+AI58+AI59+AI60+AI61+AI62+AI63+AI64+AI65+AI66+AI67+AI68+AI69+AI72+AI73+AI74+AI75+AI76+AI77+AI78+AI79+AI80+AI81+AI82+AI83+AI84+AI85+AI86+AI87+AI88+AI89+AI90+AI91+AI92+AI93+AI96</f>
        <v/>
      </c>
      <c r="AJ98" s="20" t="n"/>
      <c r="AK98" s="20" t="n"/>
      <c r="AL98" s="20" t="n"/>
      <c r="AM98" s="20" t="n"/>
      <c r="AN98" s="22">
        <f>AN8+AN9+AN12+AN13+AN14+AN15+AN16+AN19+AN20+AN21+AN22+AN23+AN24+AN25+AN26+AN27+AN28+AN29+AN32+AN33+AN34+AN35+AN36+AN37+AN38+AN39+AN40+AN43+AN44+AN45+AN46+AN47+AN48+AN49+AN50+AN51+AN52+AN53+AN54+AN55+AN56+AN57+AN58+AN59+AN60+AN61+AN62+AN63+AN64+AN65+AN66+AN67+AN68+AN69+AN72+AN73+AN74+AN75+AN76+AN77+AN78+AN79+AN80+AN81+AN82+AN83+AN84+AN85+AN86+AN87+AN88+AN89+AN90+AN91+AN92+AN93+AN96</f>
        <v/>
      </c>
      <c r="AO98" s="20" t="n"/>
      <c r="AP98" s="20" t="n"/>
      <c r="AQ98" s="20" t="n"/>
      <c r="AR98" s="20" t="n"/>
      <c r="AS98" s="20" t="n"/>
      <c r="AT98" s="22">
        <f>AT8+AT9+AT12+AT13+AT14+AT15+AT16+AT19+AT20+AT21+AT22+AT23+AT24+AT25+AT26+AT27+AT28+AT29+AT32+AT33+AT34+AT35+AT36+AT37+AT38+AT39+AT40+AT43+AT44+AT45+AT46+AT47+AT48+AT49+AT50+AT51+AT52+AT53+AT54+AT55+AT56+AT57+AT58+AT59+AT60+AT61+AT62+AT63+AT64+AT65+AT66+AT67+AT68+AT69+AT72+AT73+AT74+AT75+AT76+AT77+AT78+AT79+AT80+AT81+AT82+AT83+AT84+AT85+AT86+AT87+AT88+AT89+AT90+AT91+AT92+AT93+AT96</f>
        <v/>
      </c>
      <c r="AU98" s="22">
        <f>AU8+AU9+AU12+AU13+AU14+AU15+AU16+AU19+AU20+AU21+AU22+AU23+AU24+AU25+AU26+AU27+AU28+AU29+AU32+AU33+AU34+AU35+AU36+AU37+AU38+AU39+AU40+AU43+AU44+AU45+AU46+AU47+AU48+AU49+AU50+AU51+AU52+AU53+AU54+AU55+AU56+AU57+AU58+AU59+AU60+AU61+AU62+AU63+AU64+AU65+AU66+AU67+AU68+AU69+AU72+AU73+AU74+AU75+AU76+AU77+AU78+AU79+AU80+AU81+AU82+AU83+AU84+AU85+AU86+AU87+AU88+AU89+AU90+AU91+AU92+AU93+AU96</f>
        <v/>
      </c>
      <c r="AV98" s="20" t="n"/>
      <c r="AW98" s="20" t="n"/>
      <c r="AX98" s="20" t="n"/>
      <c r="AY98" s="20" t="n"/>
      <c r="AZ98" s="22">
        <f>AZ8+AZ9+AZ12+AZ13+AZ14+AZ15+AZ16+AZ19+AZ20+AZ21+AZ22+AZ23+AZ24+AZ25+AZ26+AZ27+AZ28+AZ29+AZ32+AZ33+AZ34+AZ35+AZ36+AZ37+AZ38+AZ39+AZ40+AZ43+AZ44+AZ45+AZ46+AZ47+AZ48+AZ49+AZ50+AZ51+AZ52+AZ53+AZ54+AZ55+AZ56+AZ57+AZ58+AZ59+AZ60+AZ61+AZ62+AZ63+AZ64+AZ65+AZ66+AZ67+AZ68+AZ69+AZ72+AZ73+AZ74+AZ75+AZ76+AZ77+AZ78+AZ79+AZ80+AZ81+AZ82+AZ83+AZ84+AZ85+AZ86+AZ87+AZ88+AZ89+AZ90+AZ91+AZ92+AZ93+AZ96</f>
        <v/>
      </c>
      <c r="BA98" s="20" t="n"/>
      <c r="BB98" s="20" t="n"/>
      <c r="BC98" s="20" t="n"/>
      <c r="BD98" s="20" t="n"/>
      <c r="BE98" s="20" t="n"/>
      <c r="BF98" s="22">
        <f>BF8+BF9+BF12+BF13+BF14+BF15+BF16+BF19+BF20+BF21+BF22+BF23+BF24+BF25+BF26+BF27+BF28+BF29+BF32+BF33+BF34+BF35+BF36+BF37+BF38+BF39+BF40+BF43+BF44+BF45+BF46+BF47+BF48+BF49+BF50+BF51+BF52+BF53+BF54+BF55+BF56+BF57+BF58+BF59+BF60+BF61+BF62+BF63+BF64+BF65+BF66+BF67+BF68+BF69+BF72+BF73+BF74+BF75+BF76+BF77+BF78+BF79+BF80+BF81+BF82+BF83+BF84+BF85+BF86+BF87+BF88+BF89+BF90+BF91+BF92+BF93+BF96</f>
        <v/>
      </c>
      <c r="BG98" s="20" t="n"/>
      <c r="BH98" s="20" t="n"/>
      <c r="BI98" s="20" t="n"/>
      <c r="BJ98" s="20" t="n"/>
      <c r="BK98" s="22">
        <f>BK8+BK9+BK12+BK13+BK14+BK15+BK16+BK19+BK20+BK21+BK22+BK23+BK24+BK25+BK26+BK27+BK28+BK29+BK32+BK33+BK34+BK35+BK36+BK37+BK38+BK39+BK40+BK43+BK44+BK45+BK46+BK47+BK48+BK49+BK50+BK51+BK52+BK53+BK54+BK55+BK56+BK57+BK58+BK59+BK60+BK61+BK62+BK63+BK64+BK65+BK66+BK67+BK68+BK69+BK72+BK73+BK74+BK75+BK76+BK77+BK78+BK79+BK80+BK81+BK82+BK83+BK84+BK85+BK86+BK87+BK88+BK89+BK90+BK91+BK92+BK93+BK96</f>
        <v/>
      </c>
      <c r="BL98" s="22">
        <f>BL8+BL9+BL12+BL13+BL14+BL15+BL16+BL19+BL20+BL21+BL22+BL23+BL24+BL25+BL26+BL27+BL28+BL29+BL32+BL33+BL34+BL35+BL36+BL37+BL38+BL39+BL40+BL43+BL44+BL45+BL46+BL47+BL48+BL49+BL50+BL51+BL52+BL53+BL54+BL55+BL56+BL57+BL58+BL59+BL60+BL61+BL62+BL63+BL64+BL65+BL66+BL67+BL68+BL69+BL72+BL73+BL74+BL75+BL76+BL77+BL78+BL79+BL80+BL81+BL82+BL83+BL84+BL85+BL86+BL87+BL88+BL89+BL90+BL91+BL92+BL93+BL96</f>
        <v/>
      </c>
      <c r="BM98" s="20" t="n"/>
      <c r="BN98" s="20" t="n"/>
      <c r="BO98" s="20" t="n"/>
      <c r="BP98" s="20" t="n"/>
      <c r="BQ98" s="22">
        <f>BQ8+BQ9+BQ12+BQ13+BQ14+BQ15+BQ16+BQ19+BQ20+BQ21+BQ22+BQ23+BQ24+BQ25+BQ26+BQ27+BQ28+BQ29+BQ32+BQ33+BQ34+BQ35+BQ36+BQ37+BQ38+BQ39+BQ40+BQ43+BQ44+BQ45+BQ46+BQ47+BQ48+BQ49+BQ50+BQ51+BQ52+BQ53+BQ54+BQ55+BQ56+BQ57+BQ58+BQ59+BQ60+BQ61+BQ62+BQ63+BQ64+BQ65+BQ66+BQ67+BQ68+BQ69+BQ72+BQ73+BQ74+BQ75+BQ76+BQ77+BQ78+BQ79+BQ80+BQ81+BQ82+BQ83+BQ84+BQ85+BQ86+BQ87+BQ88+BQ89+BQ90+BQ91+BQ92+BQ93+BQ96</f>
        <v/>
      </c>
      <c r="BR98" s="20" t="n"/>
      <c r="BS98" s="20" t="n"/>
      <c r="BT98" s="20" t="n"/>
      <c r="BU98" s="20" t="n"/>
      <c r="BV98" s="20" t="n"/>
      <c r="BW98" s="22">
        <f>BW8+BW9+BW12+BW13+BW14+BW15+BW16+BW19+BW20+BW21+BW22+BW23+BW24+BW25+BW26+BW27+BW28+BW29+BW32+BW33+BW34+BW35+BW36+BW37+BW38+BW39+BW40+BW43+BW44+BW45+BW46+BW47+BW48+BW49+BW50+BW51+BW52+BW53+BW54+BW55+BW56+BW57+BW58+BW59+BW60+BW61+BW62+BW63+BW64+BW65+BW66+BW67+BW68+BW69+BW72+BW73+BW74+BW75+BW76+BW77+BW78+BW79+BW80+BW81+BW82+BW83+BW84+BW85+BW86+BW87+BW88+BW89+BW90+BW91+BW92+BW93+BW96</f>
        <v/>
      </c>
      <c r="BX98" s="20" t="n"/>
      <c r="BY98" s="20" t="n"/>
      <c r="BZ98" s="20" t="n"/>
      <c r="CA98" s="20" t="n"/>
      <c r="CB98" s="22">
        <f>CB8+CB9+CB12+CB13+CB14+CB15+CB16+CB19+CB20+CB21+CB22+CB23+CB24+CB25+CB26+CB27+CB28+CB29+CB32+CB33+CB34+CB35+CB36+CB37+CB38+CB39+CB40+CB43+CB44+CB45+CB46+CB47+CB48+CB49+CB50+CB51+CB52+CB53+CB54+CB55+CB56+CB57+CB58+CB59+CB60+CB61+CB62+CB63+CB64+CB65+CB66+CB67+CB68+CB69+CB72+CB73+CB74+CB75+CB76+CB77+CB78+CB79+CB80+CB81+CB82+CB83+CB84+CB85+CB86+CB87+CB88+CB89+CB90+CB91+CB92+CB93+CB96</f>
        <v/>
      </c>
      <c r="CC98" s="22">
        <f>CC8+CC9+CC12+CC13+CC14+CC15+CC16+CC19+CC20+CC21+CC22+CC23+CC24+CC25+CC26+CC27+CC28+CC29+CC32+CC33+CC34+CC35+CC36+CC37+CC38+CC39+CC40+CC43+CC44+CC45+CC46+CC47+CC48+CC49+CC50+CC51+CC52+CC53+CC54+CC55+CC56+CC57+CC58+CC59+CC60+CC61+CC62+CC63+CC64+CC65+CC66+CC67+CC68+CC69+CC72+CC73+CC74+CC75+CC76+CC77+CC78+CC79+CC80+CC81+CC82+CC83+CC84+CC85+CC86+CC87+CC88+CC89+CC90+CC91+CC92+CC93+CC96</f>
        <v/>
      </c>
      <c r="CD98" s="22">
        <f>CD8+CD9+CD12+CD13+CD14+CD15+CD16+CD19+CD20+CD21+CD22+CD23+CD24+CD25+CD26+CD27+CD28+CD29+CD32+CD33+CD34+CD35+CD36+CD37+CD38+CD39+CD40+CD43+CD44+CD45+CD46+CD47+CD48+CD49+CD50+CD51+CD52+CD53+CD54+CD55+CD56+CD57+CD58+CD59+CD60+CD61+CD62+CD63+CD64+CD65+CD66+CD67+CD68+CD69+CD72+CD73+CD74+CD75+CD76+CD77+CD78+CD79+CD80+CD81+CD82+CD83+CD84+CD85+CD86+CD87+CD88+CD89+CD90+CD91+CD92+CD93+CD96</f>
        <v/>
      </c>
    </row>
  </sheetData>
  <conditionalFormatting sqref="K6:K9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1"/>
  <sheetViews>
    <sheetView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18" customWidth="1" min="4" max="4"/>
  </cols>
  <sheetData>
    <row r="2">
      <c r="B2" s="23" t="inlineStr">
        <is>
          <t>Leyenda de estados</t>
        </is>
      </c>
    </row>
    <row r="4">
      <c r="B4" s="16" t="n"/>
      <c r="C4" s="24" t="inlineStr">
        <is>
          <t>Not Started</t>
        </is>
      </c>
      <c r="D4" t="inlineStr">
        <is>
          <t>not_started</t>
        </is>
      </c>
    </row>
    <row r="5">
      <c r="B5" s="25" t="n"/>
      <c r="C5" s="24" t="inlineStr">
        <is>
          <t>In process</t>
        </is>
      </c>
      <c r="D5" t="inlineStr">
        <is>
          <t>in_process</t>
        </is>
      </c>
    </row>
    <row r="6">
      <c r="B6" s="26" t="n"/>
      <c r="C6" s="24" t="inlineStr">
        <is>
          <t>Approved</t>
        </is>
      </c>
      <c r="D6" t="inlineStr">
        <is>
          <t>approved</t>
        </is>
      </c>
    </row>
    <row r="7">
      <c r="B7" s="27" t="n"/>
      <c r="C7" s="24" t="inlineStr">
        <is>
          <t>Attention</t>
        </is>
      </c>
      <c r="D7" t="inlineStr">
        <is>
          <t>attention</t>
        </is>
      </c>
    </row>
    <row r="8">
      <c r="B8" s="28" t="n"/>
      <c r="C8" s="24" t="inlineStr">
        <is>
          <t>Completed</t>
        </is>
      </c>
      <c r="D8" t="inlineStr">
        <is>
          <t>completed</t>
        </is>
      </c>
    </row>
    <row r="11">
      <c r="B11" s="23" t="inlineStr">
        <is>
          <t>Cómo colapsar</t>
        </is>
      </c>
    </row>
    <row r="13">
      <c r="B13" t="inlineStr">
        <is>
          <t>Los botones 1 · 2 · 3 arriba a la izquierda de la hoja Job Cost Report:</t>
        </is>
      </c>
    </row>
    <row r="14">
      <c r="B14" t="inlineStr">
        <is>
          <t xml:space="preserve">   1 → sólo trimestres</t>
        </is>
      </c>
    </row>
    <row r="15">
      <c r="B15" t="inlineStr">
        <is>
          <t xml:space="preserve">   2 → trimestres + meses</t>
        </is>
      </c>
    </row>
    <row r="16">
      <c r="B16" t="inlineStr">
        <is>
          <t xml:space="preserve">   3 → todo el detalle semanal</t>
        </is>
      </c>
    </row>
    <row r="17">
      <c r="B17" t="inlineStr">
        <is>
          <t>También sirven los +/− sobre cada grupo de columnas.</t>
        </is>
      </c>
    </row>
    <row r="18">
      <c r="B18" t="inlineStr"/>
    </row>
    <row r="19">
      <c r="B19" t="inlineStr">
        <is>
          <t>Este archivo es un modelo VIVO: las columnas Spend, Remaining,</t>
        </is>
      </c>
    </row>
    <row r="20">
      <c r="B20" t="inlineStr">
        <is>
          <t>Forecast, los subtotales y los totales son fórmulas.</t>
        </is>
      </c>
    </row>
    <row r="21">
      <c r="B21" t="inlineStr">
        <is>
          <t>Si editás el LEDGER, todo recalcula solo.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2026-07-23T15:17:08Z</dcterms:created>
  <dcterms:modified xmlns:dcterms="http://purl.org/dc/terms/" xmlns:xsi="http://www.w3.org/2001/XMLSchema-instance" xsi:type="dcterms:W3CDTF">2026-07-23T15:17:08Z</dcterms:modified>
</cp:coreProperties>
</file>